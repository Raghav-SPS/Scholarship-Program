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s.msu.edu\Broad\AIS\Staff\Financial\Scholarships\Scholarships (2025-2026)\"/>
    </mc:Choice>
  </mc:AlternateContent>
  <xr:revisionPtr revIDLastSave="0" documentId="13_ncr:1_{9C4769EC-FFF3-474D-AD70-1DB60905DC2B}" xr6:coauthVersionLast="47" xr6:coauthVersionMax="47" xr10:uidLastSave="{00000000-0000-0000-0000-000000000000}"/>
  <bookViews>
    <workbookView xWindow="30612" yWindow="-108" windowWidth="23256" windowHeight="12456" activeTab="1" xr2:uid="{00000000-000D-0000-FFFF-FFFF00000000}"/>
  </bookViews>
  <sheets>
    <sheet name="Requirements List" sheetId="1" r:id="rId1"/>
    <sheet name="Recipients" sheetId="10" r:id="rId2"/>
    <sheet name="TY Donors" sheetId="4" r:id="rId3"/>
    <sheet name="Firm Commitments" sheetId="9" r:id="rId4"/>
  </sheets>
  <definedNames>
    <definedName name="_xlnm.Print_Titles" localSheetId="0">'Requirements List'!$2:$2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0" i="1" l="1"/>
  <c r="H163" i="10"/>
  <c r="H159" i="10"/>
  <c r="H155" i="10"/>
  <c r="H68" i="10"/>
  <c r="H18" i="10"/>
  <c r="H316" i="10"/>
  <c r="H309" i="10"/>
  <c r="H302" i="10"/>
  <c r="H299" i="10"/>
  <c r="H294" i="10"/>
  <c r="H290" i="10"/>
  <c r="H286" i="10"/>
  <c r="J278" i="10"/>
  <c r="I278" i="10"/>
  <c r="H276" i="10"/>
  <c r="H271" i="10"/>
  <c r="H268" i="10"/>
  <c r="H263" i="10"/>
  <c r="H257" i="10"/>
  <c r="H249" i="10"/>
  <c r="H243" i="10"/>
  <c r="H235" i="10"/>
  <c r="H230" i="10"/>
  <c r="H226" i="10"/>
  <c r="H223" i="10"/>
  <c r="H220" i="10"/>
  <c r="H207" i="10"/>
  <c r="H204" i="10"/>
  <c r="H199" i="10"/>
  <c r="H196" i="10"/>
  <c r="H191" i="10"/>
  <c r="H187" i="10"/>
  <c r="H184" i="10"/>
  <c r="H180" i="10"/>
  <c r="H168" i="10"/>
  <c r="H152" i="10"/>
  <c r="H148" i="10"/>
  <c r="H138" i="10"/>
  <c r="H135" i="10"/>
  <c r="H128" i="10"/>
  <c r="H116" i="10"/>
  <c r="H109" i="10"/>
  <c r="H105" i="10"/>
  <c r="H102" i="10"/>
  <c r="H97" i="10"/>
  <c r="H78" i="10"/>
  <c r="H75" i="10"/>
  <c r="H72" i="10"/>
  <c r="H65" i="10"/>
  <c r="H58" i="10"/>
  <c r="H32" i="10"/>
  <c r="H23" i="10"/>
  <c r="H13" i="10"/>
  <c r="H9" i="10"/>
  <c r="G60" i="1"/>
  <c r="H278"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Hengesbach, Joyce</author>
  </authors>
  <commentList>
    <comment ref="A34" authorId="0" shapeId="0" xr:uid="{D6DE0B90-9F67-46EC-B0DF-38EF01E98E09}">
      <text>
        <r>
          <rPr>
            <b/>
            <sz val="9"/>
            <color indexed="81"/>
            <rFont val="Tahoma"/>
            <family val="2"/>
          </rPr>
          <t>Hengesbach, Joyce:</t>
        </r>
        <r>
          <rPr>
            <sz val="9"/>
            <color indexed="81"/>
            <rFont val="Tahoma"/>
            <family val="2"/>
          </rPr>
          <t xml:space="preserve">
New Account 1/10/22
</t>
        </r>
      </text>
    </comment>
    <comment ref="A35" authorId="0" shapeId="0" xr:uid="{E539CF67-10A2-4959-BCC5-D9A7C627A4F5}">
      <text>
        <r>
          <rPr>
            <b/>
            <sz val="9"/>
            <color indexed="81"/>
            <rFont val="Tahoma"/>
            <family val="2"/>
          </rPr>
          <t>Hengesbach, Joyce:</t>
        </r>
        <r>
          <rPr>
            <sz val="9"/>
            <color indexed="81"/>
            <rFont val="Tahoma"/>
            <family val="2"/>
          </rPr>
          <t xml:space="preserve">
Should this line be deleted 1/12/22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ktrin</author>
    <author>Hengesbach, Joyce</author>
  </authors>
  <commentList>
    <comment ref="C8" authorId="0" shapeId="0" xr:uid="{6A1BFD4B-0332-40BB-B393-D388F3582EF0}">
      <text>
        <r>
          <rPr>
            <b/>
            <sz val="9"/>
            <color indexed="81"/>
            <rFont val="Tahoma"/>
            <family val="2"/>
          </rPr>
          <t>ktrin:</t>
        </r>
        <r>
          <rPr>
            <sz val="9"/>
            <color indexed="81"/>
            <rFont val="Tahoma"/>
            <family val="2"/>
          </rPr>
          <t xml:space="preserve">
was this when alive
Ms. Gail Weinstein
98 East Saint Andrews Lane
Deerfield, IL  60015</t>
        </r>
      </text>
    </comment>
    <comment ref="C9" authorId="0" shapeId="0" xr:uid="{48085885-FC11-4785-832E-46A26CD1A72B}">
      <text>
        <r>
          <rPr>
            <b/>
            <sz val="9"/>
            <color indexed="81"/>
            <rFont val="Tahoma"/>
            <family val="2"/>
          </rPr>
          <t>ktrin:</t>
        </r>
        <r>
          <rPr>
            <sz val="9"/>
            <color indexed="81"/>
            <rFont val="Tahoma"/>
            <family val="2"/>
          </rPr>
          <t xml:space="preserve">
William Brink deceased (4/24/2019)
</t>
        </r>
      </text>
    </comment>
    <comment ref="C14" authorId="1" shapeId="0" xr:uid="{97802C88-673C-4CA8-A878-9CE7AC4F8BB0}">
      <text>
        <r>
          <rPr>
            <b/>
            <sz val="9"/>
            <color indexed="81"/>
            <rFont val="Tahoma"/>
            <family val="2"/>
          </rPr>
          <t>Hengesbach, Joyce:</t>
        </r>
        <r>
          <rPr>
            <sz val="9"/>
            <color indexed="81"/>
            <rFont val="Tahoma"/>
            <family val="2"/>
          </rPr>
          <t xml:space="preserve">
TY contact 1/21/22
</t>
        </r>
      </text>
    </comment>
    <comment ref="E18" authorId="1" shapeId="0" xr:uid="{CBACBEE6-3B53-4CD1-A31C-5AB0DFD2647A}">
      <text>
        <r>
          <rPr>
            <b/>
            <sz val="9"/>
            <color indexed="81"/>
            <rFont val="Tahoma"/>
            <family val="2"/>
          </rPr>
          <t>Hengesbach, Joyce:</t>
        </r>
        <r>
          <rPr>
            <sz val="9"/>
            <color indexed="81"/>
            <rFont val="Tahoma"/>
            <family val="2"/>
          </rPr>
          <t xml:space="preserve">
She prefers email and thinks students also
</t>
        </r>
      </text>
    </comment>
    <comment ref="J29" authorId="1" shapeId="0" xr:uid="{6600EE85-AE45-48E5-8934-784D7C4DC102}">
      <text>
        <r>
          <rPr>
            <b/>
            <sz val="9"/>
            <color indexed="81"/>
            <rFont val="Tahoma"/>
            <family val="2"/>
          </rPr>
          <t>Hengesbach, Joyce:</t>
        </r>
        <r>
          <rPr>
            <sz val="9"/>
            <color indexed="81"/>
            <rFont val="Tahoma"/>
            <family val="2"/>
          </rPr>
          <t xml:space="preserve">
They are both with Deloitte. It’s an expendable scholarship with no official agreement, so technically the thank you notes are not required, but I’m sure the donors would appreciate them nonetheless.</t>
        </r>
      </text>
    </comment>
    <comment ref="C32" authorId="1" shapeId="0" xr:uid="{934F7E6D-BF5D-4FB4-A8AA-3736E8CB71A8}">
      <text>
        <r>
          <rPr>
            <b/>
            <sz val="9"/>
            <color indexed="81"/>
            <rFont val="Tahoma"/>
            <family val="2"/>
          </rPr>
          <t>Hengesbach, Joyce:</t>
        </r>
        <r>
          <rPr>
            <sz val="9"/>
            <color indexed="81"/>
            <rFont val="Tahoma"/>
            <family val="2"/>
          </rPr>
          <t xml:space="preserve">
TY contact 1/18/22
</t>
        </r>
      </text>
    </comment>
    <comment ref="C41" authorId="1" shapeId="0" xr:uid="{C4321388-DA8A-4F65-A631-45E9698B90EB}">
      <text>
        <r>
          <rPr>
            <b/>
            <sz val="9"/>
            <color indexed="81"/>
            <rFont val="Tahoma"/>
            <family val="2"/>
          </rPr>
          <t>Hengesbach, Joyce:</t>
        </r>
        <r>
          <rPr>
            <sz val="9"/>
            <color indexed="81"/>
            <rFont val="Tahoma"/>
            <family val="2"/>
          </rPr>
          <t xml:space="preserve">
Jenn on maternity leave through May 16.  Forward email to Jen.Dicesare@rsmus.com
</t>
        </r>
      </text>
    </comment>
    <comment ref="C44" authorId="0" shapeId="0" xr:uid="{A5C3A57E-D39D-46D5-87E2-66C49FB6C573}">
      <text>
        <r>
          <rPr>
            <b/>
            <sz val="9"/>
            <color indexed="81"/>
            <rFont val="Tahoma"/>
            <family val="2"/>
          </rPr>
          <t>ktrin:</t>
        </r>
        <r>
          <rPr>
            <sz val="9"/>
            <color indexed="81"/>
            <rFont val="Tahoma"/>
            <family val="2"/>
          </rPr>
          <t xml:space="preserve">
Development counldn't find an updated address as of FY21</t>
        </r>
      </text>
    </comment>
    <comment ref="H44" authorId="0" shapeId="0" xr:uid="{59D5465E-F836-4AEF-96C7-BCDE103DFBF4}">
      <text>
        <r>
          <rPr>
            <b/>
            <sz val="9"/>
            <color indexed="81"/>
            <rFont val="Tahoma"/>
            <family val="2"/>
          </rPr>
          <t>ktrin:</t>
        </r>
        <r>
          <rPr>
            <sz val="9"/>
            <color indexed="81"/>
            <rFont val="Tahoma"/>
            <family val="2"/>
          </rPr>
          <t xml:space="preserve">
Development counldn't find an updated address as of FY21</t>
        </r>
      </text>
    </comment>
    <comment ref="C45" authorId="1" shapeId="0" xr:uid="{843FD2E9-BAB5-4630-81D5-4CCF702D171F}">
      <text>
        <r>
          <rPr>
            <b/>
            <sz val="9"/>
            <color indexed="81"/>
            <rFont val="Tahoma"/>
            <family val="2"/>
          </rPr>
          <t>Hengesbach, Joyce:</t>
        </r>
        <r>
          <rPr>
            <sz val="9"/>
            <color indexed="81"/>
            <rFont val="Tahoma"/>
            <family val="2"/>
          </rPr>
          <t xml:space="preserve">
This is their permanent address per Development FY21</t>
        </r>
      </text>
    </comment>
    <comment ref="H45" authorId="1" shapeId="0" xr:uid="{0ABBB9A0-7738-43CC-A590-AEA496A6C34D}">
      <text>
        <r>
          <rPr>
            <b/>
            <sz val="9"/>
            <color indexed="81"/>
            <rFont val="Tahoma"/>
            <charset val="1"/>
          </rPr>
          <t>Hengesbach, Joyce:</t>
        </r>
        <r>
          <rPr>
            <sz val="9"/>
            <color indexed="81"/>
            <rFont val="Tahoma"/>
            <charset val="1"/>
          </rPr>
          <t xml:space="preserve">
Donor deceased 2024.
Daughter of Millard Smith will be happy to receive TY lts - Hanna Development 9/10/25
</t>
        </r>
      </text>
    </comment>
    <comment ref="D48" authorId="1" shapeId="0" xr:uid="{F3529710-A586-4545-ADE8-91D103DC1949}">
      <text>
        <r>
          <rPr>
            <b/>
            <sz val="9"/>
            <color indexed="81"/>
            <rFont val="Tahoma"/>
            <family val="2"/>
          </rPr>
          <t>Hengesbach, Joyce:</t>
        </r>
        <r>
          <rPr>
            <sz val="9"/>
            <color indexed="81"/>
            <rFont val="Tahoma"/>
            <family val="2"/>
          </rPr>
          <t xml:space="preserve">
Laura passed away 11/9/23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Hengesbach, Joyce</author>
  </authors>
  <commentList>
    <comment ref="B4" authorId="0" shapeId="0" xr:uid="{F62A66AB-D0B7-4FF8-8574-7D116DCCEEF8}">
      <text>
        <r>
          <rPr>
            <b/>
            <sz val="9"/>
            <color indexed="81"/>
            <rFont val="Tahoma"/>
            <family val="2"/>
          </rPr>
          <t>Hengesbach, Joyce:</t>
        </r>
        <r>
          <rPr>
            <sz val="9"/>
            <color indexed="81"/>
            <rFont val="Tahoma"/>
            <family val="2"/>
          </rPr>
          <t xml:space="preserve">
Update contact info for Cohen.  Always have the most up to date contact (Per Erin Smaldino) 1/8/25</t>
        </r>
      </text>
    </comment>
    <comment ref="B7" authorId="0" shapeId="0" xr:uid="{592C8FC7-203D-494C-9110-CE3035E8F629}">
      <text>
        <r>
          <rPr>
            <b/>
            <sz val="9"/>
            <color indexed="81"/>
            <rFont val="Tahoma"/>
            <family val="2"/>
          </rPr>
          <t>Hengesbach, Joyce:</t>
        </r>
        <r>
          <rPr>
            <sz val="9"/>
            <color indexed="81"/>
            <rFont val="Tahoma"/>
            <family val="2"/>
          </rPr>
          <t xml:space="preserve">
New as of 4/22/22, but Megan Requests she still be temp. included on commun.
</t>
        </r>
      </text>
    </comment>
  </commentList>
</comments>
</file>

<file path=xl/sharedStrings.xml><?xml version="1.0" encoding="utf-8"?>
<sst xmlns="http://schemas.openxmlformats.org/spreadsheetml/2006/main" count="948" uniqueCount="592">
  <si>
    <t>William and Carol Brink Endowed Scholarship</t>
  </si>
  <si>
    <t>Arthur H. Carter Scholarship</t>
  </si>
  <si>
    <t>Daniel J. and Bette H. Church Endowed Scholarship in Accounting</t>
  </si>
  <si>
    <t>Doeren Mayhew Scholarship</t>
  </si>
  <si>
    <t>Ernst &amp; Young Endowed Scholarship</t>
  </si>
  <si>
    <t>Scott and Patricia Eston Endowed Scholarship in Accounting</t>
  </si>
  <si>
    <t>Gardner M. and Pauline A. Jones Endowed Scholarship in Accounting</t>
  </si>
  <si>
    <t>James E. McCartney Undergraduate Scholarship in Accounting</t>
  </si>
  <si>
    <t>Glenn and Susan Schafer Endowed Scholarship in Accounting</t>
  </si>
  <si>
    <t>Frank N. Sidoti Undergraduate Business Scholarship</t>
  </si>
  <si>
    <t>Roger E. and Laura Hamill Wilkinson Endowed Scholarship</t>
  </si>
  <si>
    <t>Cecil R. and M. Beatrice Upham Scholarship</t>
  </si>
  <si>
    <t>Ms. Bobbi Jones Sabine
703 Lake Avenue
Grand Haven, MI  49417-1715</t>
  </si>
  <si>
    <t>Mr. Thomas N. Luccock
7216 E 65th Place
Tulsa, OK  74133</t>
  </si>
  <si>
    <t>Ann K. Beaujean
5838 Lake Ann Rd.
Lake Ann, MI  49650-9716</t>
  </si>
  <si>
    <t>Deceased</t>
  </si>
  <si>
    <t>Scott and Patricia</t>
  </si>
  <si>
    <t>Ms. Sabine</t>
  </si>
  <si>
    <t>Glenn and Susan</t>
  </si>
  <si>
    <t>Millard and Ann</t>
  </si>
  <si>
    <t>Roger and Laura</t>
  </si>
  <si>
    <t>Marc</t>
  </si>
  <si>
    <t>Richard &amp; Barbara</t>
  </si>
  <si>
    <t>RT083756</t>
  </si>
  <si>
    <t>RT083279</t>
  </si>
  <si>
    <t>RT083130</t>
  </si>
  <si>
    <t>RT082603</t>
  </si>
  <si>
    <t>RT083443</t>
  </si>
  <si>
    <t>RT083543</t>
  </si>
  <si>
    <t>RT083131</t>
  </si>
  <si>
    <t>RT083118</t>
  </si>
  <si>
    <t>RT083551</t>
  </si>
  <si>
    <t>RT083629</t>
  </si>
  <si>
    <t>RT083321</t>
  </si>
  <si>
    <t>DE022412</t>
  </si>
  <si>
    <t>RT086218</t>
  </si>
  <si>
    <t>RT083399</t>
  </si>
  <si>
    <t>RT086169</t>
  </si>
  <si>
    <t>RT100203</t>
  </si>
  <si>
    <t>RL033429</t>
  </si>
  <si>
    <t>RH082157</t>
  </si>
  <si>
    <t>Richard and Barbara McWhirter Endowed Scholarship in Accounting</t>
  </si>
  <si>
    <t>The William C. Martino and Delrose Marlene Martino Scholarship Fund</t>
  </si>
  <si>
    <t>RT083600</t>
  </si>
  <si>
    <t>Daniel Collins Accounting Research Award</t>
  </si>
  <si>
    <t>Marlys and Jack Gray Endowed Scholarship</t>
  </si>
  <si>
    <t>The Russell and Vera McCurry Memorial Scholarship</t>
  </si>
  <si>
    <t>John Dallal Memorial Scholarship</t>
  </si>
  <si>
    <t>Steven D. Clark Accident Fund Insurance Company of America Scholarship in Accounting and Information Systems</t>
  </si>
  <si>
    <t>$ one year full time tuition</t>
  </si>
  <si>
    <t>RT083449</t>
  </si>
  <si>
    <t>SORT
NAME</t>
  </si>
  <si>
    <t>ACCOUNT NUMBER</t>
  </si>
  <si>
    <t>SEMESTER PAID</t>
  </si>
  <si>
    <t>DONOR SALUTATION (1)</t>
  </si>
  <si>
    <t>DONOR SALUTATION (2)</t>
  </si>
  <si>
    <t>OFFICIAL
NAME</t>
  </si>
  <si>
    <t>BDO</t>
  </si>
  <si>
    <t>BRINK</t>
  </si>
  <si>
    <t>BECK</t>
  </si>
  <si>
    <t>CARTER</t>
  </si>
  <si>
    <t>CHURCH</t>
  </si>
  <si>
    <t>DALLAL</t>
  </si>
  <si>
    <t>DELOITTE</t>
  </si>
  <si>
    <t>DOEREN MAYHEW</t>
  </si>
  <si>
    <t>E&amp;Y</t>
  </si>
  <si>
    <t>ESTON</t>
  </si>
  <si>
    <t>GRANT THORNTON</t>
  </si>
  <si>
    <t>JONES</t>
  </si>
  <si>
    <t>MARTINO</t>
  </si>
  <si>
    <t>GRAY</t>
  </si>
  <si>
    <t>MCCARTNEY</t>
  </si>
  <si>
    <t>PWC</t>
  </si>
  <si>
    <t>SCHAFER</t>
  </si>
  <si>
    <t>SMITH</t>
  </si>
  <si>
    <t>WILKINSON</t>
  </si>
  <si>
    <t>MCCURRY</t>
  </si>
  <si>
    <t>LUCCOCK</t>
  </si>
  <si>
    <t>MCWHIRTER</t>
  </si>
  <si>
    <t>CLARK</t>
  </si>
  <si>
    <t>UPHAM</t>
  </si>
  <si>
    <t>The Constance Richards Smith Memorial Endowed Scholarship in Accounting</t>
  </si>
  <si>
    <t>Thomas N. Luccock Audit Scholarship Endowment</t>
  </si>
  <si>
    <t>COLLINS</t>
  </si>
  <si>
    <t>HORBACK</t>
  </si>
  <si>
    <t>BECKER CPA</t>
  </si>
  <si>
    <t>Becker CPA Review</t>
  </si>
  <si>
    <t>Michael and Gail Horback
34179 Pembroke Ave.
Livonia, MI  48152-1202</t>
  </si>
  <si>
    <t>Selected by Ph.D. Director</t>
  </si>
  <si>
    <t>Michael &amp; Gail</t>
  </si>
  <si>
    <t>RT100184</t>
  </si>
  <si>
    <t xml:space="preserve">Recipient shall be enrolled as a full-time student in the MBA or MS in Accounting program and have completed an original accounting research project during the past twelve months.  Two awards - 2nd place receives half of 1st place  </t>
  </si>
  <si>
    <t>2nd place is 1/2 of 1st place
student must be nominated by a faculty member</t>
  </si>
  <si>
    <t>Deloitte &amp; Touche/Michael Licata Endowed Scholarship</t>
  </si>
  <si>
    <t>KPMG Fund</t>
  </si>
  <si>
    <t xml:space="preserve">The KPMG Fund </t>
  </si>
  <si>
    <t>ANTHONY</t>
  </si>
  <si>
    <t>RT100250</t>
  </si>
  <si>
    <t>DRIESSNACK</t>
  </si>
  <si>
    <t>Robert and Paula Driessnack Spartan Cornerstone Scholarship Challenge</t>
  </si>
  <si>
    <t>RITCHIE</t>
  </si>
  <si>
    <t xml:space="preserve">Richard L. Ritchie Endowment for the Department of Accounting and Information Systems </t>
  </si>
  <si>
    <t>RT086030</t>
  </si>
  <si>
    <t>Robert and Paula</t>
  </si>
  <si>
    <t>NONE</t>
  </si>
  <si>
    <t>Department funded (selected by IT faculty)</t>
  </si>
  <si>
    <t>ITSS</t>
  </si>
  <si>
    <t>CLEMENS</t>
  </si>
  <si>
    <t>Donna Elizabeth Clemens Memorial Scholarship</t>
  </si>
  <si>
    <t>RT100472</t>
  </si>
  <si>
    <t>DOCTORAL</t>
  </si>
  <si>
    <t>Doctoral Program in Accounting and Information Systems Scholarship</t>
  </si>
  <si>
    <t>RT100599</t>
  </si>
  <si>
    <t>SELECTED BY</t>
  </si>
  <si>
    <t>FSA</t>
  </si>
  <si>
    <t>Federated Schools of Accountancy</t>
  </si>
  <si>
    <t>????</t>
  </si>
  <si>
    <t>Ann</t>
  </si>
  <si>
    <t>Marty</t>
  </si>
  <si>
    <t>Richard and Barbara McWhirter
3 Lighthouse Lane
Barrington, RI  02806-2829</t>
  </si>
  <si>
    <t>Roger and Laura Wilkinson
2142 Pawnee Circle
Okemos, MI  48864</t>
  </si>
  <si>
    <t>Department</t>
  </si>
  <si>
    <t>Kelly</t>
  </si>
  <si>
    <t>Martin L. Clemens
2866 State Road 135 North
Nashville, IN  47448</t>
  </si>
  <si>
    <t>Final approval by Chair</t>
  </si>
  <si>
    <t>Tom</t>
  </si>
  <si>
    <t>For VITA members ONLY</t>
  </si>
  <si>
    <t>PLANTE-MORAN</t>
  </si>
  <si>
    <t>Mr. Phillip L. Sidoti
1230 Harrington Lane
East Lansing, MI  48823-7373</t>
  </si>
  <si>
    <t>Mr. Sidoti</t>
  </si>
  <si>
    <t>Michelle Horback Palgut Memorial Endowed Scholarship in Accounting</t>
  </si>
  <si>
    <t>RT100714</t>
  </si>
  <si>
    <t>Joseph and Beth Anthony
2174 Cider Mill Drive
East Lansing, MI  48823</t>
  </si>
  <si>
    <t>Donor deceased</t>
  </si>
  <si>
    <t>Mr. Jen</t>
  </si>
  <si>
    <t>Daniel Collins</t>
  </si>
  <si>
    <t>total endowment $</t>
  </si>
  <si>
    <t>Information Technology Minor Scholarship</t>
  </si>
  <si>
    <t>WIEGAND</t>
  </si>
  <si>
    <t>RT101076</t>
  </si>
  <si>
    <t>COHEN</t>
  </si>
  <si>
    <t>MONTGOMERY</t>
  </si>
  <si>
    <t>Valarie Beckwith Montgomery and Robert "Mark" Montgomery Endowed Scholarship for Accounting</t>
  </si>
  <si>
    <t>RT100989</t>
  </si>
  <si>
    <t>Marlys Gray
4562 Edmund Boulevard
Minneapolis, MN  55406</t>
  </si>
  <si>
    <t>Marlys</t>
  </si>
  <si>
    <t>RT101124</t>
  </si>
  <si>
    <t>The Agnes F. Sidoti Undergraduate Business Scholarship</t>
  </si>
  <si>
    <t>Michael and Debra</t>
  </si>
  <si>
    <t>Michael and Debra Wiegand
7243 Kilmer Street, SE
Grand Rapids, MI  49512</t>
  </si>
  <si>
    <t>AIS</t>
  </si>
  <si>
    <t>PwC Outstanding Achievement Scholarship</t>
  </si>
  <si>
    <t>Wiegand Family Scholarship in Accounting</t>
  </si>
  <si>
    <t xml:space="preserve">CROWE </t>
  </si>
  <si>
    <t>RT101336</t>
  </si>
  <si>
    <t>RT101316</t>
  </si>
  <si>
    <t>Temp restriction 12/4/18   UN</t>
  </si>
  <si>
    <t>Temp restriction 12/4/18   GR, FALL</t>
  </si>
  <si>
    <t>Sarah</t>
  </si>
  <si>
    <t>The Patricia A. Jones Memorial Scholarship</t>
  </si>
  <si>
    <t>NOTES</t>
  </si>
  <si>
    <r>
      <t xml:space="preserve">full time acctg major </t>
    </r>
    <r>
      <rPr>
        <b/>
        <sz val="9"/>
        <color rgb="FF00B0F0"/>
        <rFont val="Times New Roman"/>
        <family val="1"/>
      </rPr>
      <t>undergrad</t>
    </r>
    <r>
      <rPr>
        <sz val="9"/>
        <color theme="1"/>
        <rFont val="Times New Roman"/>
        <family val="1"/>
      </rPr>
      <t>, exhibiting academic excellence combined w/leadership, comm service, work exp &amp; fin need  Limit 4 years - renewal as long as they maintain a 3.0 GPA Minimum 2,000   
1 award + renewable from pervious years
Have a permanent address is michigan</t>
    </r>
  </si>
  <si>
    <t>DO NOT AWARD</t>
  </si>
  <si>
    <t>MANER</t>
  </si>
  <si>
    <t>Maner Costerisan Accounting Scholarship</t>
  </si>
  <si>
    <t>Sarah Casby
Maner Costerisan
2425 E. Grand River, Suite 1
Lansing, MI  48912</t>
  </si>
  <si>
    <t>RT101452</t>
  </si>
  <si>
    <t>Brenda Voutyras
515 N. Putnam Street, Apt. E
Williamston, MI  48895-1126</t>
  </si>
  <si>
    <t>Brenda</t>
  </si>
  <si>
    <t>Daniel 
Deceased 3/29/19</t>
  </si>
  <si>
    <t>OUTSLAY</t>
  </si>
  <si>
    <t>Edmund Outslay Doctoral Fellowship Fund</t>
  </si>
  <si>
    <t>RT101575</t>
  </si>
  <si>
    <t>GRAD ONLY</t>
  </si>
  <si>
    <r>
      <t xml:space="preserve">academic excellence, leadership qualities and work experience / enrolled in acctg class.  Preference to Michigan residents.    GRAD
</t>
    </r>
    <r>
      <rPr>
        <b/>
        <sz val="9"/>
        <color theme="1"/>
        <rFont val="Times New Roman"/>
        <family val="1"/>
      </rPr>
      <t>Temp restriction 12/4/18   GR</t>
    </r>
  </si>
  <si>
    <t>BRANHAM</t>
  </si>
  <si>
    <t>Joshua A. Branham Scholarship</t>
  </si>
  <si>
    <t>Allison</t>
  </si>
  <si>
    <t>DOMINOWSKI</t>
  </si>
  <si>
    <t>Andrea &amp; Mike Dominowski
2389 N. Birch Ridge Drive
Midland, MI  48642</t>
  </si>
  <si>
    <t>Andrea &amp; Mike</t>
  </si>
  <si>
    <t>Charles J. Strosacker Foundation</t>
  </si>
  <si>
    <t>Kathleen</t>
  </si>
  <si>
    <t>EAB</t>
  </si>
  <si>
    <t>External Advisory Board Scholarship</t>
  </si>
  <si>
    <t>RSM US LLP</t>
  </si>
  <si>
    <t>RSM Foundation Scholarship</t>
  </si>
  <si>
    <t>The Joseph and Madeline Anthony Endowed Fund in Accounting and Information Systems Scholarship</t>
  </si>
  <si>
    <r>
      <t xml:space="preserve">Preference to Michigan resident with need
       2 @ $2,500                                   </t>
    </r>
    <r>
      <rPr>
        <b/>
        <sz val="9"/>
        <color theme="1"/>
        <rFont val="Times New Roman"/>
        <family val="1"/>
      </rPr>
      <t xml:space="preserve">GR </t>
    </r>
  </si>
  <si>
    <t>Temp Restriction 11/21/18                 GR</t>
  </si>
  <si>
    <r>
      <t xml:space="preserve">young men of good character who have satisfactorily completed at least two years of study                </t>
    </r>
    <r>
      <rPr>
        <b/>
        <sz val="9"/>
        <color theme="1"/>
        <rFont val="Times New Roman"/>
        <family val="1"/>
      </rPr>
      <t>UN Jr./Sr. OR MS Student</t>
    </r>
    <r>
      <rPr>
        <sz val="9"/>
        <color theme="1"/>
        <rFont val="Times New Roman"/>
        <family val="1"/>
      </rPr>
      <t xml:space="preserve">
The award can go to a MS accounting major provided they have completed two years of undergrad at an accredited college or university and are male.  
</t>
    </r>
  </si>
  <si>
    <t>FALL ONLY AWARD</t>
  </si>
  <si>
    <r>
      <t xml:space="preserve">acctg major, based on need as verified by FAFSA with preference to students who do not qualify for the Pell Grant but demonstrate need of no less than 50% of cost of attendance                      </t>
    </r>
    <r>
      <rPr>
        <b/>
        <sz val="9"/>
        <color theme="1"/>
        <rFont val="Times New Roman"/>
        <family val="1"/>
      </rPr>
      <t>UN ONLY, FALL</t>
    </r>
  </si>
  <si>
    <r>
      <t xml:space="preserve">based on academic excellence, leadership and work experience              </t>
    </r>
    <r>
      <rPr>
        <b/>
        <sz val="9"/>
        <color theme="1"/>
        <rFont val="Times New Roman"/>
        <family val="1"/>
      </rPr>
      <t xml:space="preserve">UN ONLY, FALL </t>
    </r>
  </si>
  <si>
    <r>
      <t xml:space="preserve">admitted acctng student with interest in tax.  Top 25% of applicants based on academic achievement.  </t>
    </r>
    <r>
      <rPr>
        <sz val="9"/>
        <color rgb="FFFF0000"/>
        <rFont val="Times New Roman"/>
        <family val="1"/>
      </rPr>
      <t>The full amount must go to 1 person.</t>
    </r>
    <r>
      <rPr>
        <sz val="9"/>
        <color theme="1"/>
        <rFont val="Times New Roman"/>
        <family val="1"/>
      </rPr>
      <t xml:space="preserve">                                      </t>
    </r>
    <r>
      <rPr>
        <b/>
        <sz val="9"/>
        <color theme="1"/>
        <rFont val="Times New Roman"/>
        <family val="1"/>
      </rPr>
      <t>GR , FALL</t>
    </r>
    <r>
      <rPr>
        <sz val="9"/>
        <color theme="1"/>
        <rFont val="Times New Roman"/>
        <family val="1"/>
      </rPr>
      <t xml:space="preserve">
</t>
    </r>
    <r>
      <rPr>
        <b/>
        <sz val="9"/>
        <color theme="1"/>
        <rFont val="Times New Roman"/>
        <family val="1"/>
      </rPr>
      <t>Temp Restriction 11/21/18  Grad</t>
    </r>
  </si>
  <si>
    <r>
      <t xml:space="preserve">Ph.D student new to program (recruiting)                  </t>
    </r>
    <r>
      <rPr>
        <b/>
        <sz val="9"/>
        <color theme="1"/>
        <rFont val="Times New Roman"/>
        <family val="1"/>
      </rPr>
      <t>FALL ONLY</t>
    </r>
  </si>
  <si>
    <r>
      <t xml:space="preserve">MS or PhD in dept (any program) eligible to participate in federal need-based aid program with emphasis on academic credentials and promise; $1,000 minimum  
                                       </t>
    </r>
    <r>
      <rPr>
        <b/>
        <sz val="9"/>
        <color theme="1"/>
        <rFont val="Times New Roman"/>
        <family val="1"/>
      </rPr>
      <t>GR ONLY, FALL</t>
    </r>
  </si>
  <si>
    <t>Temp Restriction 11/21/18                 UN</t>
  </si>
  <si>
    <r>
      <t xml:space="preserve">acctg major based on academic excellence
</t>
    </r>
    <r>
      <rPr>
        <b/>
        <sz val="9"/>
        <color theme="1"/>
        <rFont val="Times New Roman"/>
        <family val="1"/>
      </rPr>
      <t xml:space="preserve">Temp Restriction 11/21/18                  UN </t>
    </r>
  </si>
  <si>
    <r>
      <t xml:space="preserve">3 at $2,000                                              </t>
    </r>
    <r>
      <rPr>
        <b/>
        <sz val="9"/>
        <color theme="1"/>
        <rFont val="Times New Roman"/>
        <family val="1"/>
      </rPr>
      <t>UN</t>
    </r>
  </si>
  <si>
    <t>SPRING ONLY AWARD</t>
  </si>
  <si>
    <r>
      <t xml:space="preserve">full time accounting major   
</t>
    </r>
    <r>
      <rPr>
        <b/>
        <sz val="9"/>
        <color theme="1"/>
        <rFont val="Times New Roman"/>
        <family val="1"/>
      </rPr>
      <t>Temp restriction 11/21/18                     GR
FALL ONLY</t>
    </r>
  </si>
  <si>
    <r>
      <t xml:space="preserve">based on academic excellence &amp; leadership; priority to Michigan residents
</t>
    </r>
    <r>
      <rPr>
        <b/>
        <sz val="9"/>
        <color theme="1"/>
        <rFont val="Times New Roman"/>
        <family val="1"/>
      </rPr>
      <t>Temp restriction 11/21/18                    UN</t>
    </r>
    <r>
      <rPr>
        <sz val="9"/>
        <color theme="1"/>
        <rFont val="Times New Roman"/>
        <family val="1"/>
      </rPr>
      <t xml:space="preserve"> </t>
    </r>
    <r>
      <rPr>
        <b/>
        <sz val="9"/>
        <rFont val="Times New Roman"/>
        <family val="1"/>
      </rPr>
      <t>SPRING ONLY</t>
    </r>
  </si>
  <si>
    <r>
      <t xml:space="preserve">Recipients will be accounting majors who are a member in NABA with preference to those who are also in Woman in Business Student Association     </t>
    </r>
    <r>
      <rPr>
        <b/>
        <sz val="9"/>
        <color theme="1"/>
        <rFont val="Times New Roman"/>
        <family val="1"/>
      </rPr>
      <t>FALL ONLY                 GR</t>
    </r>
  </si>
  <si>
    <r>
      <t xml:space="preserve">based on academic excellence, leadership qualities and work experience 
</t>
    </r>
    <r>
      <rPr>
        <b/>
        <sz val="9"/>
        <color theme="1"/>
        <rFont val="Times New Roman"/>
        <family val="1"/>
      </rPr>
      <t>Temp restriction 11/21/18  FALL       GR</t>
    </r>
  </si>
  <si>
    <r>
      <t xml:space="preserve">1,000 minimum award per student; Acctg or IS major   </t>
    </r>
    <r>
      <rPr>
        <b/>
        <sz val="9"/>
        <color theme="1"/>
        <rFont val="Times New Roman"/>
        <family val="1"/>
      </rPr>
      <t>Temp restriction 11/21/18   UN FALL</t>
    </r>
  </si>
  <si>
    <r>
      <t xml:space="preserve">undergrad enrolled in acctg class, have foreign language, based on academic excellence            </t>
    </r>
    <r>
      <rPr>
        <b/>
        <sz val="9"/>
        <rFont val="Times New Roman"/>
        <family val="1"/>
      </rPr>
      <t xml:space="preserve"> FALL                       UN</t>
    </r>
  </si>
  <si>
    <t>Crowe Outstanding Junior Accounting Scholarship</t>
  </si>
  <si>
    <t>FALL OR SPRING AWARD</t>
  </si>
  <si>
    <r>
      <t xml:space="preserve">Financial need may be considered with foreign language.  Accounting major.  Preference to cumulative gpa of for at least two semester at 3.6 or better.
</t>
    </r>
    <r>
      <rPr>
        <b/>
        <sz val="9"/>
        <color theme="1"/>
        <rFont val="Times New Roman"/>
        <family val="1"/>
      </rPr>
      <t xml:space="preserve">  FALL ONLY </t>
    </r>
    <r>
      <rPr>
        <sz val="9"/>
        <color theme="1"/>
        <rFont val="Times New Roman"/>
        <family val="1"/>
      </rPr>
      <t xml:space="preserve">
</t>
    </r>
    <r>
      <rPr>
        <b/>
        <sz val="9"/>
        <color theme="1"/>
        <rFont val="Times New Roman"/>
        <family val="1"/>
      </rPr>
      <t xml:space="preserve">              Temp restriction 11/21/18   Grad</t>
    </r>
  </si>
  <si>
    <r>
      <t xml:space="preserve">11 at $1,500 each            </t>
    </r>
    <r>
      <rPr>
        <sz val="9"/>
        <rFont val="Times New Roman"/>
        <family val="1"/>
      </rPr>
      <t xml:space="preserve">FALL  </t>
    </r>
    <r>
      <rPr>
        <sz val="9"/>
        <color theme="1"/>
        <rFont val="Times New Roman"/>
        <family val="1"/>
      </rPr>
      <t xml:space="preserve">               </t>
    </r>
    <r>
      <rPr>
        <b/>
        <sz val="9"/>
        <rFont val="Times New Roman"/>
        <family val="1"/>
      </rPr>
      <t>UN</t>
    </r>
  </si>
  <si>
    <r>
      <t xml:space="preserve">Academic excellence, leadership qualities and work experience     UN ONLY
       </t>
    </r>
    <r>
      <rPr>
        <b/>
        <sz val="9"/>
        <rFont val="Times New Roman"/>
        <family val="1"/>
      </rPr>
      <t xml:space="preserve">            FALL ONLY</t>
    </r>
  </si>
  <si>
    <r>
      <t xml:space="preserve">Undergrad, based on academic excellence, leadership and work experience / enrolled in acctg class.                </t>
    </r>
    <r>
      <rPr>
        <b/>
        <sz val="9"/>
        <color theme="1"/>
        <rFont val="Times New Roman"/>
        <family val="1"/>
      </rPr>
      <t xml:space="preserve"> FALL ONLY</t>
    </r>
  </si>
  <si>
    <r>
      <t xml:space="preserve">full time accounting major
</t>
    </r>
    <r>
      <rPr>
        <b/>
        <sz val="9"/>
        <rFont val="Times New Roman"/>
        <family val="1"/>
      </rPr>
      <t>Temp restriction 12/4/18   UN</t>
    </r>
    <r>
      <rPr>
        <sz val="9"/>
        <rFont val="Times New Roman"/>
        <family val="1"/>
      </rPr>
      <t xml:space="preserve">, </t>
    </r>
    <r>
      <rPr>
        <b/>
        <sz val="9"/>
        <rFont val="Times New Roman"/>
        <family val="1"/>
      </rPr>
      <t>FALL ONLY</t>
    </r>
  </si>
  <si>
    <r>
      <t xml:space="preserve">recipients must be in good academic standing; based on academic achievement
</t>
    </r>
    <r>
      <rPr>
        <b/>
        <sz val="9"/>
        <color theme="1"/>
        <rFont val="Times New Roman"/>
        <family val="1"/>
      </rPr>
      <t>Temp restriction 12/4/18   GR</t>
    </r>
    <r>
      <rPr>
        <sz val="9"/>
        <color theme="1"/>
        <rFont val="Times New Roman"/>
        <family val="1"/>
      </rPr>
      <t xml:space="preserve">, </t>
    </r>
    <r>
      <rPr>
        <b/>
        <sz val="9"/>
        <color theme="1"/>
        <rFont val="Times New Roman"/>
        <family val="1"/>
      </rPr>
      <t>FALL ONLY</t>
    </r>
  </si>
  <si>
    <t>PCAOB</t>
  </si>
  <si>
    <t>Public Company Accounting Oversight Board</t>
  </si>
  <si>
    <t>Shannon Mulally selects the student and notifys</t>
  </si>
  <si>
    <t>NA</t>
  </si>
  <si>
    <t>anthony@msu.edu</t>
  </si>
  <si>
    <t xml:space="preserve">aldominowski@dow.com </t>
  </si>
  <si>
    <t>scasby@manercpa.com</t>
  </si>
  <si>
    <t>No email address</t>
  </si>
  <si>
    <t>wilkin15@msu.edu</t>
  </si>
  <si>
    <t>joutslay@hotmail.com</t>
  </si>
  <si>
    <t>Jane Outslay
1081 Applegate Lane
East Lansing, MI  48823</t>
  </si>
  <si>
    <t>Jane</t>
  </si>
  <si>
    <t>annbjn@gmail.com</t>
  </si>
  <si>
    <t>msuclemens@icloud.com</t>
  </si>
  <si>
    <t>rjdriessn@gmail.com</t>
  </si>
  <si>
    <t>scott.eston@gmail.com</t>
  </si>
  <si>
    <t>tluccock@msu.edu</t>
  </si>
  <si>
    <t>glennsschafer@gmail.com</t>
  </si>
  <si>
    <t>mwiegandcpa@charter.net</t>
  </si>
  <si>
    <t>aamazonwoman@juno.com</t>
  </si>
  <si>
    <t>palmerdesu@yahoo.com</t>
  </si>
  <si>
    <t xml:space="preserve">daniel-collins@uiowa.edu
enoch.jen@gmail.com
</t>
  </si>
  <si>
    <t>Mr. Enoch Jen
3934 Westside Dr.
Hudsonville, MI  49426
enoch.jen@gmail.com</t>
  </si>
  <si>
    <t>No thank you required
no contact info found</t>
  </si>
  <si>
    <t>Donor does not want to be notified
no contact information found</t>
  </si>
  <si>
    <t>Will check with Shannon</t>
  </si>
  <si>
    <t>AL ARENS</t>
  </si>
  <si>
    <t>MAIN STREET</t>
  </si>
  <si>
    <t>Al Arens Teaching Assistant</t>
  </si>
  <si>
    <t>Grant Thornton Teaching Assistant</t>
  </si>
  <si>
    <t>Main Street Corporation Teaching Assistant</t>
  </si>
  <si>
    <t>Send Notification to the named GAs and DONOR</t>
  </si>
  <si>
    <t>Does not list anybody
sent email to Development (have not heard as of 6/8/20)</t>
  </si>
  <si>
    <t>AIS Scholarship Campaign</t>
  </si>
  <si>
    <t>RL100066</t>
  </si>
  <si>
    <t>RL100072</t>
  </si>
  <si>
    <t>RL100073</t>
  </si>
  <si>
    <t>RL100074</t>
  </si>
  <si>
    <t>RL100069</t>
  </si>
  <si>
    <t>RL100067</t>
  </si>
  <si>
    <t>RL100071</t>
  </si>
  <si>
    <t>RL100070</t>
  </si>
  <si>
    <t>RL100076</t>
  </si>
  <si>
    <t>RL100077</t>
  </si>
  <si>
    <t>RL100078</t>
  </si>
  <si>
    <t>Joe and Beth</t>
  </si>
  <si>
    <t>SIDOTI, AGNES</t>
  </si>
  <si>
    <t>SIDOTI, FRANK</t>
  </si>
  <si>
    <t>rmcwhirter@cox.net</t>
  </si>
  <si>
    <r>
      <t xml:space="preserve">Recipients must be US Citizens or permanent residents (Amend. 12/20)        GR ONLY
   </t>
    </r>
    <r>
      <rPr>
        <b/>
        <sz val="9"/>
        <color theme="1"/>
        <rFont val="Times New Roman"/>
        <family val="1"/>
      </rPr>
      <t xml:space="preserve">  FALL ONLY</t>
    </r>
  </si>
  <si>
    <t>ANNUAL GIFTS</t>
  </si>
  <si>
    <t>ENDOWMENTS</t>
  </si>
  <si>
    <t>Jennifer Bidling Maier
Ernst &amp; Young
One Kennedy Square
777 Woodward Avenue, Suite 1000
Detroit, MI  48226</t>
  </si>
  <si>
    <t>Kelly Busch
PricewaterhouseCoopers LLP
One Ally Center 500 Woodward Ave.
Detroit, MI  48226</t>
  </si>
  <si>
    <t>New 2020/2021
The EAB has a new chair each year and this should be updated annually (per Lynne)</t>
  </si>
  <si>
    <t>Jane currently has 2 addresses and either or both is fine. (per Jane)
Check with Chris/Lynne to see which one to use.</t>
  </si>
  <si>
    <t>Millard and Ann Smith
5860 Antigua Way
Naples, FL  34113-8809</t>
  </si>
  <si>
    <t>Robert and Paula Driessnack
11220 Walnut Strteet
Redlands, CA  92374-7610</t>
  </si>
  <si>
    <t>Scott and Patricia Eston
18105 SE Village Cir
Tequesta, FL  33469-3401</t>
  </si>
  <si>
    <t>mhorback1@gmail.com</t>
  </si>
  <si>
    <t>Darline Jones
23844 Tres Coronas
Spicewood, TX  78669-1631</t>
  </si>
  <si>
    <t>Mr. Marc T. McCurry
805 Airport Road
Norton Shores, MI  49441</t>
  </si>
  <si>
    <t>mmccurry4@comcast.net</t>
  </si>
  <si>
    <t>Glenn and Susan Schafer
21 Seabreeze Ter
Dana Point, CA  92629-2727</t>
  </si>
  <si>
    <t>Mrs. Cynthia Alba
2251 Erie Ct.
Tracy, CA  95304-5803</t>
  </si>
  <si>
    <t>cynalba42@gmail.com</t>
  </si>
  <si>
    <t>Cytnthia</t>
  </si>
  <si>
    <t>CONTACT
PHONE</t>
  </si>
  <si>
    <r>
      <t xml:space="preserve">would like to be awarded to low income students from the Upper Peninsula
      2 @ 2,500         </t>
    </r>
    <r>
      <rPr>
        <b/>
        <sz val="9"/>
        <color theme="1"/>
        <rFont val="Times New Roman"/>
        <family val="1"/>
      </rPr>
      <t>UN  ONLY</t>
    </r>
  </si>
  <si>
    <t>The scholarship fund includes a $2,500 personal donation as well as a match from the Strosacker Foundation (1/22/21)</t>
  </si>
  <si>
    <t>DONOR DECEASED</t>
  </si>
  <si>
    <t>AVAILABLE AMOUNT PER KT</t>
  </si>
  <si>
    <t>at discretion of chair
DOESN'T HAVE TO BE A SCHOLARSHIP</t>
  </si>
  <si>
    <t>D. Jean Sanders Beck Scholarship</t>
  </si>
  <si>
    <t>NON-Scholarship</t>
  </si>
  <si>
    <t>can be used to support expenses for phd students with preference for tax</t>
  </si>
  <si>
    <t>check on limitations of account</t>
  </si>
  <si>
    <t>Kelly Englert
Grant Thornton LLP
27777 Franklin Road, Suite 800
Southfield, MI  48034</t>
  </si>
  <si>
    <t>989-423-9843</t>
  </si>
  <si>
    <t>high merit and financial need  (underrepresented minority as able)
1 @ 10,000 - Grad
5 @ 4,600 - Undergrad</t>
  </si>
  <si>
    <t>Must be a domestic student (as defined by the University) and a graduate of a U.S. High School            GPA Minimum 3.3 in overall                               1 award of $2,000            UN</t>
  </si>
  <si>
    <t>Carter</t>
  </si>
  <si>
    <t>Clark</t>
  </si>
  <si>
    <t>Deloitte</t>
  </si>
  <si>
    <t>Martino</t>
  </si>
  <si>
    <t>Smith</t>
  </si>
  <si>
    <t>undergrad</t>
  </si>
  <si>
    <t>ms</t>
  </si>
  <si>
    <t>Anthony</t>
  </si>
  <si>
    <t>31-3312</t>
  </si>
  <si>
    <t>Beck</t>
  </si>
  <si>
    <t>31-1170</t>
  </si>
  <si>
    <t>31-3422</t>
  </si>
  <si>
    <t>81-3756</t>
  </si>
  <si>
    <t>Church</t>
  </si>
  <si>
    <t>Clemens</t>
  </si>
  <si>
    <r>
      <t>1  TAX / TOP</t>
    </r>
    <r>
      <rPr>
        <b/>
        <i/>
        <sz val="12"/>
        <rFont val="Calibri"/>
        <family val="2"/>
      </rPr>
      <t xml:space="preserve"> 25%</t>
    </r>
  </si>
  <si>
    <t>NEED&gt;M/H</t>
  </si>
  <si>
    <t>Cohen</t>
  </si>
  <si>
    <t>Dallal</t>
  </si>
  <si>
    <t>VITA</t>
  </si>
  <si>
    <t>81-3130</t>
  </si>
  <si>
    <t>Doeren Mayhew</t>
  </si>
  <si>
    <t>Dominowski</t>
  </si>
  <si>
    <t>2@2500 / NEED / UP OR NORTHERN MI OR RURAL</t>
  </si>
  <si>
    <t>Driessnack</t>
  </si>
  <si>
    <t>Eston</t>
  </si>
  <si>
    <t>5ug@5000 / 1ms@10000 / HI MERIT AND NEED / MINORITIES</t>
  </si>
  <si>
    <t>Grant Thornton</t>
  </si>
  <si>
    <t>Horback</t>
  </si>
  <si>
    <t>Gardner Jones</t>
  </si>
  <si>
    <t xml:space="preserve">81-3543 </t>
  </si>
  <si>
    <t>Patricia Jones</t>
  </si>
  <si>
    <t>NABA / WOMEN IN BUSINESS STUDENT ASSOC</t>
  </si>
  <si>
    <t>KPMG</t>
  </si>
  <si>
    <t xml:space="preserve">81-3131 </t>
  </si>
  <si>
    <t>Luccock</t>
  </si>
  <si>
    <t>1 / INTERNAL AUDIT</t>
  </si>
  <si>
    <t>Maner Costerisan</t>
  </si>
  <si>
    <t>McCartney</t>
  </si>
  <si>
    <t>FOREIGN LANGUAGE</t>
  </si>
  <si>
    <t>81-3118</t>
  </si>
  <si>
    <t>McCurry</t>
  </si>
  <si>
    <t>McWhirter</t>
  </si>
  <si>
    <t>81-6218</t>
  </si>
  <si>
    <t>Plante-Moran</t>
  </si>
  <si>
    <t>Ritchie</t>
  </si>
  <si>
    <t>RSM</t>
  </si>
  <si>
    <t>2@2500</t>
  </si>
  <si>
    <t>Schafer</t>
  </si>
  <si>
    <t>US CITIZEN</t>
  </si>
  <si>
    <t>Agnes Sidoti</t>
  </si>
  <si>
    <t>Frank Sidoti</t>
  </si>
  <si>
    <t>MI</t>
  </si>
  <si>
    <t>Upham</t>
  </si>
  <si>
    <t>Wiegand</t>
  </si>
  <si>
    <t>Wilkinson</t>
  </si>
  <si>
    <t xml:space="preserve">81-2157 </t>
  </si>
  <si>
    <t>Lou Barkman
Deloitte 
200 Renaissance Center, Suite 3900
Detroit, MI  48243</t>
  </si>
  <si>
    <t>Lou</t>
  </si>
  <si>
    <t>lbarkman@deloitte.com</t>
  </si>
  <si>
    <t>Kathleen Boeve
Plante Moran, PLLC
3000 Town Center, Suite 400
Southfield, MI  48075</t>
  </si>
  <si>
    <t>KPMG Accounting &amp; Information Systems Expendable Scholarship</t>
  </si>
  <si>
    <t>KPMG Accounting Systems Expendable</t>
  </si>
  <si>
    <t>RL100099</t>
  </si>
  <si>
    <t>Thank You
Letter</t>
  </si>
  <si>
    <t>FIRM
COMMITMENTS</t>
  </si>
  <si>
    <t>CONTACT</t>
  </si>
  <si>
    <t>EMAIL</t>
  </si>
  <si>
    <t>CONTACT PHONE
NUMBER</t>
  </si>
  <si>
    <t>INVOICE
SENT</t>
  </si>
  <si>
    <t>CHECK RECEIVED</t>
  </si>
  <si>
    <t>CHECK 
DEPOSITED</t>
  </si>
  <si>
    <t>Sarah Casby</t>
  </si>
  <si>
    <t>517-886-9534</t>
  </si>
  <si>
    <t>Rehmann</t>
  </si>
  <si>
    <t>Nicole Collins</t>
  </si>
  <si>
    <t>Megan</t>
  </si>
  <si>
    <t>Megan Williamson
Grant Thornton LLP
27777 Franklin Rd., Suite 800
Southfield, MI  48034</t>
  </si>
  <si>
    <t>Shelby Krucki</t>
  </si>
  <si>
    <t>Shelby Krucki
2600 W. Big Beaver Road, Suite 600
Troy, MI  48084</t>
  </si>
  <si>
    <t>Shelby</t>
  </si>
  <si>
    <r>
      <t xml:space="preserve">Accounting or MIS GPA requirements:  3.0 or above         2 @ $2,500                     </t>
    </r>
    <r>
      <rPr>
        <b/>
        <sz val="9"/>
        <rFont val="Times New Roman"/>
        <family val="1"/>
      </rPr>
      <t xml:space="preserve"> UN or GR</t>
    </r>
    <r>
      <rPr>
        <sz val="9"/>
        <rFont val="Times New Roman"/>
        <family val="1"/>
      </rPr>
      <t xml:space="preserve">
</t>
    </r>
  </si>
  <si>
    <t>DONOR ADDRESS 
Thank You Letters</t>
  </si>
  <si>
    <t>Mike and Cathy Lorenz
21420 Greater Mack Avenue St.
St. Clair Shores, MI  48080</t>
  </si>
  <si>
    <t>Mike and Cathy</t>
  </si>
  <si>
    <t>AMOUNT
COMMITED</t>
  </si>
  <si>
    <t>skrucki@bdo.com</t>
  </si>
  <si>
    <t>pending donation from Branham</t>
  </si>
  <si>
    <t>one funded &amp; processed by the COM Department, Teagan Dixon selects students (2@2,000)</t>
  </si>
  <si>
    <t>No longer funded</t>
  </si>
  <si>
    <t>WOODFORD</t>
  </si>
  <si>
    <t>Brent Woodford Endowed Scholarship in Accounting</t>
  </si>
  <si>
    <t>no restrictions</t>
  </si>
  <si>
    <t>PEDERSEN</t>
  </si>
  <si>
    <t>Erik M. Pedersen Scholarship in Accounting</t>
  </si>
  <si>
    <t>RL100087</t>
  </si>
  <si>
    <t>used for recruiting</t>
  </si>
  <si>
    <t>Previous version used this breakdown:
$5,000 for diversity (geographic, education or employment)
$5,000 for MS in Accounting Students only</t>
  </si>
  <si>
    <t>2 @ 2000</t>
  </si>
  <si>
    <t>use for emergency coverage</t>
  </si>
  <si>
    <r>
      <t xml:space="preserve">one per year - acctg or info. systems junior or senior or MS; preference to internal audit experience                  </t>
    </r>
    <r>
      <rPr>
        <b/>
        <sz val="9"/>
        <rFont val="Times New Roman"/>
        <family val="1"/>
      </rPr>
      <t>FALL    UN or GR</t>
    </r>
  </si>
  <si>
    <t>preferred to top admitted PhD in Acctg    (if no admitted doctoral students it goes to top MSA student)</t>
  </si>
  <si>
    <t>usually just over 1.5 GA's</t>
  </si>
  <si>
    <t>should cover 2 whole GA's</t>
  </si>
  <si>
    <t>pending agreement renewal</t>
  </si>
  <si>
    <t>1 - 1,500                      Any eligible student</t>
  </si>
  <si>
    <r>
      <t xml:space="preserve">1 at $1,500  </t>
    </r>
    <r>
      <rPr>
        <b/>
        <sz val="9"/>
        <color theme="1"/>
        <rFont val="Times New Roman"/>
        <family val="1"/>
      </rPr>
      <t xml:space="preserve">                          UN Preference</t>
    </r>
  </si>
  <si>
    <t xml:space="preserve">
Shannon selects student</t>
  </si>
  <si>
    <t>David A. and Kay. A Pedersen
1363 Lake Crescent Dr
Bloomfield Hills, MI  48302-2745</t>
  </si>
  <si>
    <t>Preference to (in order of priority):
1) UN student (junior or above) who attended high school in Troy/Pontiac, MI
2) UN student (junior or above) who attended high school in MI
3) Any other if above two are not usable</t>
  </si>
  <si>
    <t>Michelle Stepek</t>
  </si>
  <si>
    <t>248-244-3174</t>
  </si>
  <si>
    <t>Michelle Stepek
Doeren Mayhew
305 W. Big Beaver Rd., Ste. 200
Troy, MI  48084</t>
  </si>
  <si>
    <t>Michelle</t>
  </si>
  <si>
    <t>HICKOK</t>
  </si>
  <si>
    <t>H. Hugh Hickok Endowed Scholarship</t>
  </si>
  <si>
    <t>H. Hugh Hickok
4181 Shoals Drive
Okemos, MI  48864</t>
  </si>
  <si>
    <t>first year being awarded (2022-2023)</t>
  </si>
  <si>
    <t>Preference shall be given to students who have served in the United States Armed Forces or students who are currently in the ROTC program at MSU</t>
  </si>
  <si>
    <t>Brent</t>
  </si>
  <si>
    <t>Mike Dean
BDO
330 North Wabash, Suite 3200
Chicago, IL  60611</t>
  </si>
  <si>
    <t>Mike</t>
  </si>
  <si>
    <t>EYVAC</t>
  </si>
  <si>
    <t>1 GA for ITM 209</t>
  </si>
  <si>
    <t>check with chair</t>
  </si>
  <si>
    <t>MUST AWARD IN HER NAME  (funding can be moved if initially deposited in another scholarship)</t>
  </si>
  <si>
    <t>We ARE renewing last year's recipients who are still students. Award them first then add in another rising freshman.</t>
  </si>
  <si>
    <t>Brent Woodford
1257 Harmony Cir
Weatherford, TX  76087</t>
  </si>
  <si>
    <t>PwC</t>
  </si>
  <si>
    <t>COMMITMENT
FORM  SENT TO FIRM</t>
  </si>
  <si>
    <t>COMMITMENT
FORM  RETURNED</t>
  </si>
  <si>
    <t>Paloma Barba</t>
  </si>
  <si>
    <t>Paloma.Barba@us.gt.com</t>
  </si>
  <si>
    <t>Nicole.collins@pwc.com</t>
  </si>
  <si>
    <t>Crowe LLP</t>
  </si>
  <si>
    <t>Dombrowski, Andrea</t>
  </si>
  <si>
    <t>EY</t>
  </si>
  <si>
    <t>Beau Beechler</t>
  </si>
  <si>
    <t>beau.beechler@rsmus.com</t>
  </si>
  <si>
    <t>216-622-1306</t>
  </si>
  <si>
    <t>Beau</t>
  </si>
  <si>
    <t>Beau Beechler
RSM US LLP
1001 Lakeside Ave E, Suite 200
Cleveland, OH  44114</t>
  </si>
  <si>
    <t>DONOR TY
EMAIL</t>
  </si>
  <si>
    <t>REHMANN</t>
  </si>
  <si>
    <t>Rehmann Accounting Scholarship</t>
  </si>
  <si>
    <t>DONOR TY
NAME</t>
  </si>
  <si>
    <t>Andrea and Mike Dominowski</t>
  </si>
  <si>
    <t>Joseph and Beth Anthony</t>
  </si>
  <si>
    <t>NO THANK YOU LETTER</t>
  </si>
  <si>
    <t>DONOR TY
NAME &amp; ADDRESS</t>
  </si>
  <si>
    <t>Joseph and Beth Anthony
2174  Cider Mill Drive
East Lansing, MI  48823</t>
  </si>
  <si>
    <t>Mrs. Cynthia Alba</t>
  </si>
  <si>
    <t>Ann K. Beaujean</t>
  </si>
  <si>
    <t>Martin L. Clemens</t>
  </si>
  <si>
    <t>award to ACC students with a 3.2 GPA or higher and students involved on campus and who have not committed to or accepted with a firm</t>
  </si>
  <si>
    <t>Alexandra (Al) Hatch</t>
  </si>
  <si>
    <t>al.hatch@plantemoran.com</t>
  </si>
  <si>
    <t>2 awards @ 2,500</t>
  </si>
  <si>
    <t>174,862.43 exp dist amt
88,000 for EYCC
45,000 for Prof
5,000 req by agreement
32,000 reserved for possible GA</t>
  </si>
  <si>
    <t>award amount determinded by calendar year donation (not FY)</t>
  </si>
  <si>
    <t>one award - determined by ACC directors</t>
  </si>
  <si>
    <t>determined by Teagan and IT specialization committee</t>
  </si>
  <si>
    <t>ME&amp;I gives $1,000
CSE gives $1,000</t>
  </si>
  <si>
    <t>meeting with Katie and Anna (development) late January to settle on amount</t>
  </si>
  <si>
    <t>Preference MS Students</t>
  </si>
  <si>
    <t>Beau.Beechler@rsmus.com</t>
  </si>
  <si>
    <t>Paloma Barba
Rebecca Merriman</t>
  </si>
  <si>
    <t>Paloma.Barba@us.gt.com
Rebecca.Merriman@us.gt.com</t>
  </si>
  <si>
    <t>248-233-6981</t>
  </si>
  <si>
    <t>Robert and Paula Driessnack</t>
  </si>
  <si>
    <t>Brett Woodford</t>
  </si>
  <si>
    <t>Jane Outslay</t>
  </si>
  <si>
    <t>Lou Barkman</t>
  </si>
  <si>
    <t>Andrea Dominowski Scholarship Fund</t>
  </si>
  <si>
    <t>Scott and Patricia Eston</t>
  </si>
  <si>
    <t>Michelle and Gail Horback</t>
  </si>
  <si>
    <t>Ms. Bobbie Jones Sabine</t>
  </si>
  <si>
    <t>Mr. Thomas N. Luccock</t>
  </si>
  <si>
    <t>Mr. Marc T. McCurry</t>
  </si>
  <si>
    <t>David A. and Kay A. Pedersen</t>
  </si>
  <si>
    <t>Glenn and Susan Schafer</t>
  </si>
  <si>
    <t>Brenda Voutyras</t>
  </si>
  <si>
    <t>Roger and Laura Wilkinson</t>
  </si>
  <si>
    <t>Robert and Paula Driessnack
11220 Walnut Street
Redlands, CA  92374-7610</t>
  </si>
  <si>
    <t>Al Hatch</t>
  </si>
  <si>
    <t>Hickok</t>
  </si>
  <si>
    <t>Pedersen</t>
  </si>
  <si>
    <t>Woodford</t>
  </si>
  <si>
    <t>Jay Nutt</t>
  </si>
  <si>
    <t>jnutt5@comcast.net</t>
  </si>
  <si>
    <t>DO NOT SENT TO THE FOLLOWING FIRMS (1/4/24)  Per Katie</t>
  </si>
  <si>
    <t>Number</t>
  </si>
  <si>
    <t>Name</t>
  </si>
  <si>
    <t>ug/ms</t>
  </si>
  <si>
    <t>f/s</t>
  </si>
  <si>
    <t>Recipients</t>
  </si>
  <si>
    <t>remaining</t>
  </si>
  <si>
    <t>grad</t>
  </si>
  <si>
    <t>amounts</t>
  </si>
  <si>
    <t>ug</t>
  </si>
  <si>
    <t>Brink</t>
  </si>
  <si>
    <t>f</t>
  </si>
  <si>
    <t>ms/phd</t>
  </si>
  <si>
    <t>NEED and previous recipients continue to receive every year once originally awarded</t>
  </si>
  <si>
    <t>&gt;3.6 / FOREIGN LANGUAGE      NEED ALONE (NOTE SURE)</t>
  </si>
  <si>
    <t>ARMED FORCES OR ROTC</t>
  </si>
  <si>
    <t>s</t>
  </si>
  <si>
    <t xml:space="preserve"> MI  2@2000 </t>
  </si>
  <si>
    <t xml:space="preserve">DIVERSITY (ETHNIC, GEOGRAPHIC, etc) </t>
  </si>
  <si>
    <t>&gt;1000</t>
  </si>
  <si>
    <t>1/MI / 2000 MIN / NEED</t>
  </si>
  <si>
    <t>1@1500</t>
  </si>
  <si>
    <t>11@1500 / UG PREFERENCE</t>
  </si>
  <si>
    <t>un</t>
  </si>
  <si>
    <t>final approval by chair</t>
  </si>
  <si>
    <t>Gray</t>
  </si>
  <si>
    <t>CHOICES ELSEWHERE</t>
  </si>
  <si>
    <t>IT - Accounting</t>
  </si>
  <si>
    <t>IT - Com Arts</t>
  </si>
  <si>
    <t>IT - Engineering</t>
  </si>
  <si>
    <t>Collins</t>
  </si>
  <si>
    <t>shannon</t>
  </si>
  <si>
    <t>81-3600</t>
  </si>
  <si>
    <t>phd</t>
  </si>
  <si>
    <t>director</t>
  </si>
  <si>
    <t xml:space="preserve">Top admitted PhD in Acctg    </t>
  </si>
  <si>
    <t>Becker CPA</t>
  </si>
  <si>
    <t>free cpa review course</t>
  </si>
  <si>
    <t>Doctoral Proram Schol</t>
  </si>
  <si>
    <t>Al Arens Teaching</t>
  </si>
  <si>
    <t>4 awards @ 5,000</t>
  </si>
  <si>
    <t>Maggie Floyd</t>
  </si>
  <si>
    <t>maggie.floyd@rehmann.com</t>
  </si>
  <si>
    <t>248-952-5000</t>
  </si>
  <si>
    <t>2 @ 1,000 each</t>
  </si>
  <si>
    <t>2 @ 1,000
students pursuing MS Degree or 150 credits to sit for CPA</t>
  </si>
  <si>
    <t>original research project; 1st place=$5,205.02; 2nd=$2,602.51</t>
  </si>
  <si>
    <t>Alex</t>
  </si>
  <si>
    <t>Chloe</t>
  </si>
  <si>
    <t>Scott</t>
  </si>
  <si>
    <t>Marineau</t>
  </si>
  <si>
    <t>Student ID</t>
  </si>
  <si>
    <t>Awarded SS24</t>
  </si>
  <si>
    <t>1@1500 / UNCOMITTED  JUNIOR / &gt;3.5</t>
  </si>
  <si>
    <t>Waiting to hear back from Katie for amount</t>
  </si>
  <si>
    <t>KOIVISTO</t>
  </si>
  <si>
    <t>Julie Koivisto Memorial Accountint Scholarship</t>
  </si>
  <si>
    <t>8 Sscholarships @$1,000 each</t>
  </si>
  <si>
    <t>4@5,000</t>
  </si>
  <si>
    <t>Koivisto</t>
  </si>
  <si>
    <t>RL100100</t>
  </si>
  <si>
    <t>Julie Koivisto Memorial Accounting Scholarship</t>
  </si>
  <si>
    <t>Lou Barkman
Jacqueline Riegling</t>
  </si>
  <si>
    <t xml:space="preserve"> lbarkman@deloitte.com
ackie.riegling@gmail.com</t>
  </si>
  <si>
    <t>Mike Patterson</t>
  </si>
  <si>
    <t>Michael.Patterson@ey.com</t>
  </si>
  <si>
    <t>MSADA
Zelenski</t>
  </si>
  <si>
    <t>MS in Accounting &amp; Data Analytics</t>
  </si>
  <si>
    <t>GA100788</t>
  </si>
  <si>
    <t>RT101815</t>
  </si>
  <si>
    <t>Eff. 8/27/24 TY letters will be sent to Mike Patterson (Email corresp between Lynne Zelenski &amp; Mike Patterson)</t>
  </si>
  <si>
    <t>Previous Year Approved Amounts (2024-2025)</t>
  </si>
  <si>
    <t>COMMITTEE WORKING TOTAL (2025-2026</t>
  </si>
  <si>
    <t>Lynne gives the names/amounts</t>
  </si>
  <si>
    <t>216-774-1141</t>
  </si>
  <si>
    <t>Tracy Himmelspach</t>
  </si>
  <si>
    <t>Tracy.Himmelspach@crowe.com</t>
  </si>
  <si>
    <t>616-242-6179</t>
  </si>
  <si>
    <t>517-336-7540</t>
  </si>
  <si>
    <t>616-450-0669</t>
  </si>
  <si>
    <t>talentacquisition@cohenco.com</t>
  </si>
  <si>
    <t>Erin Smaldino</t>
  </si>
  <si>
    <t>Crowe is not renewing their commitment for 2025/2026</t>
  </si>
  <si>
    <t>BDO USA, P.C. Scholarship</t>
  </si>
  <si>
    <t xml:space="preserve">BDO USA, P.C. </t>
  </si>
  <si>
    <t>616-802-3505</t>
  </si>
  <si>
    <t>Cohen &amp; Co Scholarship</t>
  </si>
  <si>
    <t>Plante &amp; Moran, PLLC</t>
  </si>
  <si>
    <t>FY 2025 - 2026</t>
  </si>
  <si>
    <t>4 @ 5,000       UN Only</t>
  </si>
  <si>
    <t>1 @ 1,500</t>
  </si>
  <si>
    <r>
      <t xml:space="preserve">2 @ 1,000                                        </t>
    </r>
    <r>
      <rPr>
        <b/>
        <sz val="9"/>
        <color theme="1"/>
        <rFont val="Times New Roman"/>
        <family val="1"/>
      </rPr>
      <t>GR</t>
    </r>
  </si>
  <si>
    <t>11 @ 1,500</t>
  </si>
  <si>
    <t xml:space="preserve">Cohen &amp; Co </t>
  </si>
  <si>
    <t>Grant Thornton Academic Scholarship</t>
  </si>
  <si>
    <t>Plante Moran Scholarship</t>
  </si>
  <si>
    <t>mstepek@doeren.com</t>
  </si>
  <si>
    <r>
      <t xml:space="preserve">1 - $1,500 Scholarships, maintain 3.5GPA or higher, preference should be to sophomores and juniors that have not yet committed full-time to a firm.                             </t>
    </r>
    <r>
      <rPr>
        <b/>
        <sz val="9"/>
        <color theme="1"/>
        <rFont val="Times New Roman"/>
        <family val="1"/>
      </rPr>
      <t>UN or GR</t>
    </r>
  </si>
  <si>
    <t>Recipients = Shannon's choice
this number is for SS26 disbursal</t>
  </si>
  <si>
    <t>D. Jean Sanders Beck Expendable Scholarship</t>
  </si>
  <si>
    <t>Dominowski Scholarship Fund</t>
  </si>
  <si>
    <t>Lisa Carroll</t>
  </si>
  <si>
    <t>Contact changed 8/1/25 (per  Yessica Hernandez)</t>
  </si>
  <si>
    <t>lisacarroll@kpmg.com</t>
  </si>
  <si>
    <t>Kathleen Foster</t>
  </si>
  <si>
    <t>Kathleen Foster
36 Park Lake Ave.
Titusville, NJ  08560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</si>
</sst>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m/d/yy;@"/>
    <numFmt numFmtId="165" formatCode="_(* #,##0_);_(* \(#,##0\);_(* &quot;-&quot;??_);_(@_)"/>
  </numFmts>
  <fonts count="70" x14ac:knownFonts="1">
    <font>
      <sz val="11"/>
      <color theme="1"/>
      <name val="Calibri"/>
      <family val="2"/>
      <scheme val="minor"/>
    </font>
    <font>
      <b/>
      <sz val="9"/>
      <color theme="1"/>
      <name val="Times New Roman"/>
      <family val="1"/>
    </font>
    <font>
      <sz val="9"/>
      <color theme="1"/>
      <name val="Times New Roman"/>
      <family val="1"/>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Arial"/>
      <family val="2"/>
    </font>
    <font>
      <sz val="10"/>
      <name val="Arial"/>
      <family val="2"/>
    </font>
    <font>
      <sz val="10"/>
      <name val="Arial"/>
      <family val="2"/>
    </font>
    <font>
      <u/>
      <sz val="10"/>
      <color theme="10"/>
      <name val="Arial"/>
      <family val="2"/>
    </font>
    <font>
      <u/>
      <sz val="11"/>
      <color theme="10"/>
      <name val="Calibri"/>
      <family val="2"/>
      <scheme val="minor"/>
    </font>
    <font>
      <u/>
      <sz val="10"/>
      <color indexed="12"/>
      <name val="MS Sans Serif"/>
      <family val="2"/>
    </font>
    <font>
      <sz val="9"/>
      <name val="Times New Roman"/>
      <family val="1"/>
    </font>
    <font>
      <sz val="9"/>
      <color rgb="FFFF0000"/>
      <name val="Times New Roman"/>
      <family val="1"/>
    </font>
    <font>
      <sz val="11"/>
      <name val="Calibri"/>
      <family val="2"/>
      <scheme val="minor"/>
    </font>
    <font>
      <b/>
      <sz val="9"/>
      <name val="Times New Roman"/>
      <family val="1"/>
    </font>
    <font>
      <b/>
      <sz val="9"/>
      <color rgb="FF00B0F0"/>
      <name val="Times New Roman"/>
      <family val="1"/>
    </font>
    <font>
      <b/>
      <sz val="9"/>
      <color rgb="FFFF0000"/>
      <name val="Times New Roman"/>
      <family val="1"/>
    </font>
    <font>
      <u/>
      <sz val="9"/>
      <color theme="10"/>
      <name val="Calibri"/>
      <family val="2"/>
      <scheme val="minor"/>
    </font>
    <font>
      <sz val="8"/>
      <name val="Calibri"/>
      <family val="2"/>
      <scheme val="minor"/>
    </font>
    <font>
      <sz val="9"/>
      <color indexed="81"/>
      <name val="Tahoma"/>
      <family val="2"/>
    </font>
    <font>
      <b/>
      <sz val="9"/>
      <color indexed="81"/>
      <name val="Tahoma"/>
      <family val="2"/>
    </font>
    <font>
      <u/>
      <sz val="9"/>
      <color theme="10"/>
      <name val="Times New Roman"/>
      <family val="1"/>
    </font>
    <font>
      <b/>
      <sz val="12"/>
      <color rgb="FFFF0000"/>
      <name val="Calibri"/>
      <family val="2"/>
    </font>
    <font>
      <b/>
      <sz val="12"/>
      <name val="Calibri"/>
      <family val="2"/>
    </font>
    <font>
      <sz val="12"/>
      <name val="Calibri"/>
      <family val="2"/>
    </font>
    <font>
      <sz val="12"/>
      <color rgb="FFFF0000"/>
      <name val="Calibri"/>
      <family val="2"/>
    </font>
    <font>
      <sz val="12"/>
      <color theme="1"/>
      <name val="Calibri"/>
      <family val="2"/>
    </font>
    <font>
      <b/>
      <sz val="12"/>
      <color theme="1"/>
      <name val="Calibri"/>
      <family val="2"/>
      <scheme val="minor"/>
    </font>
    <font>
      <sz val="12"/>
      <color theme="1"/>
      <name val="Calibri"/>
      <family val="2"/>
      <scheme val="minor"/>
    </font>
    <font>
      <b/>
      <i/>
      <sz val="12"/>
      <name val="Calibri"/>
      <family val="2"/>
    </font>
    <font>
      <b/>
      <sz val="12"/>
      <color theme="1"/>
      <name val="Calibri"/>
      <family val="2"/>
    </font>
    <font>
      <sz val="12"/>
      <color theme="1"/>
      <name val="Times New Roman"/>
      <family val="1"/>
    </font>
    <font>
      <u/>
      <sz val="12"/>
      <color theme="10"/>
      <name val="Times New Roman"/>
      <family val="1"/>
    </font>
    <font>
      <sz val="12"/>
      <name val="Calibri"/>
      <family val="2"/>
      <scheme val="minor"/>
    </font>
    <font>
      <sz val="12"/>
      <name val="Times New Roman"/>
      <family val="1"/>
    </font>
    <font>
      <b/>
      <sz val="12"/>
      <color theme="1"/>
      <name val="Times New Roman"/>
      <family val="1"/>
    </font>
    <font>
      <sz val="12"/>
      <color rgb="FF2F2F2F"/>
      <name val="Times New Roman"/>
      <family val="1"/>
    </font>
    <font>
      <sz val="12"/>
      <color rgb="FFFF0000"/>
      <name val="Times New Roman"/>
      <family val="1"/>
    </font>
    <font>
      <sz val="9"/>
      <color rgb="FF000000"/>
      <name val="Times New Roman"/>
      <family val="1"/>
    </font>
    <font>
      <u/>
      <sz val="9"/>
      <name val="Times New Roman"/>
      <family val="1"/>
    </font>
    <font>
      <u/>
      <sz val="11"/>
      <name val="Calibri"/>
      <family val="2"/>
      <scheme val="minor"/>
    </font>
    <font>
      <strike/>
      <sz val="12"/>
      <name val="Calibri"/>
      <family val="2"/>
    </font>
    <font>
      <b/>
      <strike/>
      <sz val="12"/>
      <name val="Calibri"/>
      <family val="2"/>
    </font>
    <font>
      <sz val="12"/>
      <color rgb="FFFF0000"/>
      <name val="Calibri"/>
      <family val="2"/>
      <scheme val="minor"/>
    </font>
    <font>
      <b/>
      <sz val="12"/>
      <color rgb="FFFF0000"/>
      <name val="Calibri"/>
      <family val="2"/>
      <scheme val="minor"/>
    </font>
    <font>
      <b/>
      <sz val="11"/>
      <name val="Calibri"/>
      <family val="2"/>
      <scheme val="minor"/>
    </font>
    <font>
      <sz val="10"/>
      <color theme="1"/>
      <name val="Calibri"/>
      <family val="2"/>
      <scheme val="minor"/>
    </font>
    <font>
      <b/>
      <sz val="11"/>
      <color rgb="FFFF0000"/>
      <name val="Calibri"/>
      <family val="2"/>
    </font>
    <font>
      <b/>
      <sz val="12"/>
      <color theme="4"/>
      <name val="Calibri"/>
      <family val="2"/>
    </font>
    <font>
      <b/>
      <i/>
      <u/>
      <sz val="12"/>
      <name val="Calibri"/>
      <family val="2"/>
    </font>
    <font>
      <sz val="12"/>
      <color rgb="FF000000"/>
      <name val="Calibri"/>
      <family val="2"/>
      <scheme val="minor"/>
    </font>
    <font>
      <sz val="11"/>
      <color theme="1"/>
      <name val="Aptos"/>
      <family val="2"/>
    </font>
    <font>
      <b/>
      <sz val="13"/>
      <color theme="1"/>
      <name val="Times New Roman"/>
      <family val="1"/>
    </font>
    <font>
      <sz val="9"/>
      <color indexed="81"/>
      <name val="Tahoma"/>
      <charset val="1"/>
    </font>
    <font>
      <b/>
      <sz val="9"/>
      <color indexed="81"/>
      <name val="Tahoma"/>
      <charset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66FFFF"/>
        <bgColor indexed="64"/>
      </patternFill>
    </fill>
    <fill>
      <patternFill patternType="solid">
        <fgColor rgb="FFFF0000"/>
        <bgColor indexed="64"/>
      </patternFill>
    </fill>
    <fill>
      <patternFill patternType="solid">
        <fgColor theme="9" tint="0.79998168889431442"/>
        <bgColor indexed="64"/>
      </patternFill>
    </fill>
    <fill>
      <patternFill patternType="solid">
        <fgColor rgb="FFCCFFCC"/>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ck">
        <color indexed="64"/>
      </left>
      <right style="thin">
        <color indexed="64"/>
      </right>
      <top/>
      <bottom style="thin">
        <color indexed="64"/>
      </bottom>
      <diagonal/>
    </border>
    <border>
      <left style="thick">
        <color indexed="64"/>
      </left>
      <right style="thin">
        <color indexed="64"/>
      </right>
      <top/>
      <bottom/>
      <diagonal/>
    </border>
  </borders>
  <cellStyleXfs count="73">
    <xf numFmtId="0" fontId="0" fillId="0" borderId="0"/>
    <xf numFmtId="0" fontId="5" fillId="0" borderId="0" applyNumberFormat="0" applyFill="0" applyBorder="0" applyAlignment="0" applyProtection="0"/>
    <xf numFmtId="0" fontId="6" fillId="0" borderId="4" applyNumberFormat="0" applyFill="0" applyAlignment="0" applyProtection="0"/>
    <xf numFmtId="0" fontId="7" fillId="0" borderId="5" applyNumberFormat="0" applyFill="0" applyAlignment="0" applyProtection="0"/>
    <xf numFmtId="0" fontId="8" fillId="0" borderId="6"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7" applyNumberFormat="0" applyAlignment="0" applyProtection="0"/>
    <xf numFmtId="0" fontId="13" fillId="6" borderId="8" applyNumberFormat="0" applyAlignment="0" applyProtection="0"/>
    <xf numFmtId="0" fontId="14" fillId="6" borderId="7" applyNumberFormat="0" applyAlignment="0" applyProtection="0"/>
    <xf numFmtId="0" fontId="15" fillId="0" borderId="9" applyNumberFormat="0" applyFill="0" applyAlignment="0" applyProtection="0"/>
    <xf numFmtId="0" fontId="16" fillId="7" borderId="10" applyNumberFormat="0" applyAlignment="0" applyProtection="0"/>
    <xf numFmtId="0" fontId="17" fillId="0" borderId="0" applyNumberFormat="0" applyFill="0" applyBorder="0" applyAlignment="0" applyProtection="0"/>
    <xf numFmtId="0" fontId="4" fillId="8" borderId="11" applyNumberFormat="0" applyFont="0" applyAlignment="0" applyProtection="0"/>
    <xf numFmtId="0" fontId="18" fillId="0" borderId="0" applyNumberFormat="0" applyFill="0" applyBorder="0" applyAlignment="0" applyProtection="0"/>
    <xf numFmtId="0" fontId="3" fillId="0" borderId="12" applyNumberFormat="0" applyFill="0" applyAlignment="0" applyProtection="0"/>
    <xf numFmtId="0" fontId="1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9" fillId="32" borderId="0" applyNumberFormat="0" applyBorder="0" applyAlignment="0" applyProtection="0"/>
    <xf numFmtId="0" fontId="20" fillId="0" borderId="0"/>
    <xf numFmtId="0" fontId="21" fillId="0" borderId="0"/>
    <xf numFmtId="0" fontId="21" fillId="0" borderId="0"/>
    <xf numFmtId="0" fontId="21" fillId="0" borderId="0"/>
    <xf numFmtId="0" fontId="20" fillId="0" borderId="0"/>
    <xf numFmtId="0" fontId="21" fillId="0" borderId="0"/>
    <xf numFmtId="0" fontId="22" fillId="0" borderId="0"/>
    <xf numFmtId="43" fontId="22"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0" fontId="24" fillId="0" borderId="0" applyNumberFormat="0" applyFill="0" applyBorder="0" applyAlignment="0" applyProtection="0"/>
    <xf numFmtId="0" fontId="23" fillId="0" borderId="0" applyNumberFormat="0" applyFill="0" applyBorder="0" applyAlignment="0" applyProtection="0">
      <alignment vertical="top"/>
      <protection locked="0"/>
    </xf>
    <xf numFmtId="43" fontId="4" fillId="0" borderId="0" applyFont="0" applyFill="0" applyBorder="0" applyAlignment="0" applyProtection="0"/>
    <xf numFmtId="0" fontId="21" fillId="0" borderId="0"/>
    <xf numFmtId="44"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4" fontId="4" fillId="0" borderId="0" applyFont="0" applyFill="0" applyBorder="0" applyAlignment="0" applyProtection="0"/>
    <xf numFmtId="0" fontId="25" fillId="0" borderId="0" applyNumberFormat="0" applyFill="0" applyBorder="0" applyAlignment="0" applyProtection="0"/>
    <xf numFmtId="43" fontId="4" fillId="0" borderId="0" applyFont="0" applyFill="0" applyBorder="0" applyAlignment="0" applyProtection="0"/>
    <xf numFmtId="0" fontId="24" fillId="0" borderId="0" applyNumberFormat="0" applyFill="0" applyBorder="0" applyAlignment="0" applyProtection="0"/>
    <xf numFmtId="0" fontId="21" fillId="0" borderId="0"/>
    <xf numFmtId="43" fontId="21" fillId="0" borderId="0" applyFont="0" applyFill="0" applyBorder="0" applyAlignment="0" applyProtection="0"/>
    <xf numFmtId="43" fontId="4" fillId="0" borderId="0" applyFont="0" applyFill="0" applyBorder="0" applyAlignment="0" applyProtection="0"/>
    <xf numFmtId="44" fontId="21" fillId="0" borderId="0" applyFont="0" applyFill="0" applyBorder="0" applyAlignment="0" applyProtection="0"/>
    <xf numFmtId="0" fontId="4" fillId="0" borderId="0"/>
  </cellStyleXfs>
  <cellXfs count="499">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1" xfId="0" applyFont="1" applyBorder="1" applyAlignment="1">
      <alignment horizontal="left" vertical="top"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wrapText="1"/>
    </xf>
    <xf numFmtId="0" fontId="1" fillId="0" borderId="1" xfId="0" applyFont="1" applyBorder="1" applyAlignment="1">
      <alignment wrapText="1"/>
    </xf>
    <xf numFmtId="0" fontId="1" fillId="0" borderId="1" xfId="0" applyFont="1" applyBorder="1" applyAlignment="1">
      <alignment vertical="top" wrapText="1"/>
    </xf>
    <xf numFmtId="3" fontId="0" fillId="0" borderId="0" xfId="0" applyNumberFormat="1"/>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3" fontId="2" fillId="0" borderId="0" xfId="0" applyNumberFormat="1" applyFont="1" applyAlignment="1">
      <alignment wrapText="1"/>
    </xf>
    <xf numFmtId="0" fontId="2" fillId="0" borderId="2" xfId="0" applyFont="1" applyBorder="1" applyAlignment="1">
      <alignment horizontal="left"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0" fontId="27" fillId="0" borderId="1" xfId="0" applyFont="1" applyBorder="1" applyAlignment="1">
      <alignment horizontal="left" vertical="top" wrapText="1"/>
    </xf>
    <xf numFmtId="0" fontId="27" fillId="0" borderId="1" xfId="0" applyFont="1" applyBorder="1" applyAlignment="1">
      <alignment wrapText="1"/>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left" vertical="top" wrapText="1"/>
    </xf>
    <xf numFmtId="0" fontId="26" fillId="0" borderId="1" xfId="0" applyFont="1" applyBorder="1" applyAlignment="1">
      <alignment wrapText="1"/>
    </xf>
    <xf numFmtId="0" fontId="26" fillId="0" borderId="0" xfId="0" applyFont="1" applyAlignment="1">
      <alignment wrapText="1"/>
    </xf>
    <xf numFmtId="0" fontId="1"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horizontal="left" vertical="center" wrapText="1"/>
    </xf>
    <xf numFmtId="0" fontId="2" fillId="0" borderId="14" xfId="0" applyFont="1" applyBorder="1" applyAlignment="1">
      <alignment horizontal="left" vertical="top" wrapText="1"/>
    </xf>
    <xf numFmtId="0" fontId="2" fillId="0" borderId="1" xfId="0" applyFont="1" applyBorder="1" applyAlignment="1">
      <alignment horizontal="center" vertical="center"/>
    </xf>
    <xf numFmtId="0" fontId="3" fillId="0" borderId="1" xfId="0" applyFont="1" applyBorder="1"/>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26" fillId="0" borderId="1" xfId="0" applyNumberFormat="1" applyFont="1" applyBorder="1" applyAlignment="1">
      <alignment horizontal="left" vertical="center" wrapText="1"/>
    </xf>
    <xf numFmtId="49" fontId="2" fillId="0" borderId="0" xfId="0" applyNumberFormat="1" applyFont="1" applyAlignment="1">
      <alignment wrapText="1"/>
    </xf>
    <xf numFmtId="49" fontId="1" fillId="0" borderId="1" xfId="0" applyNumberFormat="1" applyFont="1" applyBorder="1" applyAlignment="1">
      <alignment vertical="center"/>
    </xf>
    <xf numFmtId="49" fontId="26" fillId="0" borderId="1" xfId="0" applyNumberFormat="1" applyFont="1" applyBorder="1" applyAlignment="1">
      <alignment horizontal="left" vertical="top" wrapText="1"/>
    </xf>
    <xf numFmtId="49" fontId="1" fillId="0" borderId="0" xfId="0" applyNumberFormat="1" applyFont="1" applyAlignment="1">
      <alignment vertical="center"/>
    </xf>
    <xf numFmtId="49" fontId="1" fillId="0" borderId="1" xfId="0" applyNumberFormat="1" applyFont="1" applyBorder="1" applyAlignment="1">
      <alignment wrapText="1"/>
    </xf>
    <xf numFmtId="0" fontId="2" fillId="0" borderId="15" xfId="0" applyFont="1" applyBorder="1" applyAlignment="1">
      <alignment wrapText="1"/>
    </xf>
    <xf numFmtId="49" fontId="2" fillId="0" borderId="15" xfId="0" applyNumberFormat="1" applyFont="1" applyBorder="1" applyAlignment="1">
      <alignment horizontal="left" vertical="top" wrapText="1"/>
    </xf>
    <xf numFmtId="0" fontId="27" fillId="0" borderId="0" xfId="0" applyFont="1" applyAlignment="1">
      <alignment wrapText="1"/>
    </xf>
    <xf numFmtId="49" fontId="1" fillId="0" borderId="3" xfId="0" applyNumberFormat="1" applyFont="1" applyBorder="1" applyAlignment="1">
      <alignment horizontal="left" vertical="center" wrapText="1"/>
    </xf>
    <xf numFmtId="0" fontId="31"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 xfId="0" applyFont="1" applyBorder="1" applyAlignment="1">
      <alignment horizontal="center" vertical="center"/>
    </xf>
    <xf numFmtId="0" fontId="2" fillId="0" borderId="17" xfId="0" applyFont="1" applyBorder="1" applyAlignment="1">
      <alignment horizontal="center" vertical="center" wrapText="1"/>
    </xf>
    <xf numFmtId="0" fontId="2" fillId="0" borderId="17" xfId="0" applyFont="1" applyBorder="1" applyAlignment="1">
      <alignment horizontal="left" wrapText="1"/>
    </xf>
    <xf numFmtId="0" fontId="2" fillId="0" borderId="17" xfId="0" applyFont="1" applyBorder="1" applyAlignment="1">
      <alignment wrapText="1"/>
    </xf>
    <xf numFmtId="49" fontId="2" fillId="0" borderId="17" xfId="0" applyNumberFormat="1" applyFont="1" applyBorder="1" applyAlignment="1">
      <alignment wrapText="1"/>
    </xf>
    <xf numFmtId="3" fontId="2" fillId="0" borderId="17" xfId="0" applyNumberFormat="1" applyFont="1" applyBorder="1" applyAlignment="1">
      <alignment horizontal="center" vertical="center" wrapText="1"/>
    </xf>
    <xf numFmtId="3" fontId="0" fillId="0" borderId="18" xfId="0" applyNumberFormat="1" applyBorder="1"/>
    <xf numFmtId="0" fontId="2" fillId="34" borderId="1" xfId="0" applyFont="1" applyFill="1" applyBorder="1" applyAlignment="1">
      <alignment wrapText="1"/>
    </xf>
    <xf numFmtId="0" fontId="2" fillId="33" borderId="1" xfId="0" applyFont="1" applyFill="1" applyBorder="1" applyAlignment="1">
      <alignment vertical="top" wrapText="1"/>
    </xf>
    <xf numFmtId="0" fontId="1" fillId="0" borderId="16" xfId="0" applyFont="1" applyBorder="1" applyAlignment="1">
      <alignment horizontal="center" vertical="center" wrapText="1"/>
    </xf>
    <xf numFmtId="0" fontId="2" fillId="0" borderId="16" xfId="0" applyFont="1" applyBorder="1" applyAlignment="1">
      <alignment horizontal="center" vertical="center" wrapText="1"/>
    </xf>
    <xf numFmtId="0" fontId="0" fillId="0" borderId="16" xfId="0" applyBorder="1"/>
    <xf numFmtId="0" fontId="27" fillId="0" borderId="16" xfId="0" applyFont="1" applyBorder="1" applyAlignment="1">
      <alignment vertical="top" wrapText="1"/>
    </xf>
    <xf numFmtId="3" fontId="26" fillId="0" borderId="16" xfId="0" applyNumberFormat="1" applyFont="1" applyBorder="1" applyAlignment="1">
      <alignment vertical="top" wrapText="1"/>
    </xf>
    <xf numFmtId="0" fontId="0" fillId="0" borderId="16" xfId="0" applyBorder="1" applyAlignment="1">
      <alignment vertical="center"/>
    </xf>
    <xf numFmtId="0" fontId="2" fillId="0" borderId="16" xfId="0" applyFont="1" applyBorder="1" applyAlignment="1">
      <alignment horizontal="center" vertical="center"/>
    </xf>
    <xf numFmtId="0" fontId="2" fillId="0" borderId="16" xfId="0" applyFont="1" applyBorder="1" applyAlignment="1">
      <alignment horizontal="left" vertical="center" wrapText="1"/>
    </xf>
    <xf numFmtId="0" fontId="2" fillId="0" borderId="16" xfId="0" applyFont="1" applyBorder="1" applyAlignment="1">
      <alignment vertical="top" wrapText="1"/>
    </xf>
    <xf numFmtId="0" fontId="26" fillId="0" borderId="16" xfId="0" applyFont="1" applyBorder="1" applyAlignment="1">
      <alignment horizontal="center" vertical="center"/>
    </xf>
    <xf numFmtId="0" fontId="27" fillId="0" borderId="16" xfId="0" applyFont="1" applyBorder="1" applyAlignment="1">
      <alignment horizontal="center" vertical="center"/>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26" fillId="35" borderId="16" xfId="0" applyFont="1" applyFill="1" applyBorder="1" applyAlignment="1">
      <alignment horizontal="center" vertical="center" wrapText="1"/>
    </xf>
    <xf numFmtId="0" fontId="27" fillId="0" borderId="16" xfId="0" applyFont="1" applyBorder="1" applyAlignment="1">
      <alignment horizontal="center" vertical="center" wrapText="1"/>
    </xf>
    <xf numFmtId="0" fontId="2" fillId="36" borderId="0" xfId="0" applyFont="1" applyFill="1" applyAlignment="1">
      <alignment horizontal="center" vertical="center" wrapText="1"/>
    </xf>
    <xf numFmtId="0" fontId="26" fillId="37" borderId="0" xfId="0" applyFont="1" applyFill="1" applyAlignment="1">
      <alignment horizontal="center" wrapText="1"/>
    </xf>
    <xf numFmtId="0" fontId="2" fillId="36" borderId="1"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6" fillId="36"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37" borderId="14" xfId="0" applyFont="1" applyFill="1" applyBorder="1" applyAlignment="1">
      <alignment horizontal="center" vertical="center" wrapText="1"/>
    </xf>
    <xf numFmtId="0" fontId="2" fillId="37" borderId="2" xfId="0" applyFont="1" applyFill="1" applyBorder="1" applyAlignment="1">
      <alignment horizontal="center" vertical="center" wrapText="1"/>
    </xf>
    <xf numFmtId="0" fontId="26" fillId="37" borderId="1" xfId="0" applyFont="1" applyFill="1" applyBorder="1" applyAlignment="1">
      <alignment horizontal="center" vertical="center" wrapText="1"/>
    </xf>
    <xf numFmtId="0" fontId="2" fillId="0" borderId="0" xfId="0" applyFont="1" applyAlignment="1">
      <alignment horizontal="center" vertical="center"/>
    </xf>
    <xf numFmtId="0" fontId="27" fillId="0" borderId="1" xfId="0" applyFont="1" applyBorder="1" applyAlignment="1">
      <alignment vertical="top" wrapText="1"/>
    </xf>
    <xf numFmtId="0" fontId="32" fillId="0" borderId="0" xfId="67" applyFont="1" applyBorder="1" applyAlignment="1">
      <alignment horizontal="center" vertical="center" wrapText="1"/>
    </xf>
    <xf numFmtId="0" fontId="26" fillId="0" borderId="0" xfId="0" applyFont="1" applyAlignment="1">
      <alignment horizontal="center" vertical="center"/>
    </xf>
    <xf numFmtId="49" fontId="1" fillId="38" borderId="13" xfId="0" applyNumberFormat="1" applyFont="1" applyFill="1" applyBorder="1" applyAlignment="1">
      <alignment horizontal="center" vertical="center" wrapText="1"/>
    </xf>
    <xf numFmtId="43" fontId="2" fillId="39" borderId="1" xfId="66" applyFont="1" applyFill="1" applyBorder="1" applyAlignment="1">
      <alignment horizontal="center" vertical="center" wrapText="1"/>
    </xf>
    <xf numFmtId="43" fontId="2" fillId="39" borderId="3" xfId="66" applyFont="1" applyFill="1" applyBorder="1" applyAlignment="1">
      <alignment horizontal="center" vertical="center" wrapText="1"/>
    </xf>
    <xf numFmtId="43" fontId="2" fillId="39" borderId="2" xfId="66" applyFont="1" applyFill="1" applyBorder="1" applyAlignment="1">
      <alignment horizontal="center" vertical="center" wrapText="1"/>
    </xf>
    <xf numFmtId="43" fontId="26" fillId="39" borderId="1" xfId="66" applyFont="1" applyFill="1" applyBorder="1" applyAlignment="1">
      <alignment horizontal="center" vertical="center" wrapText="1"/>
    </xf>
    <xf numFmtId="43" fontId="2" fillId="39" borderId="0" xfId="66" applyFont="1" applyFill="1" applyAlignment="1">
      <alignment horizontal="center" vertical="center" wrapText="1"/>
    </xf>
    <xf numFmtId="43" fontId="2" fillId="39" borderId="21" xfId="66" applyFont="1" applyFill="1" applyBorder="1" applyAlignment="1">
      <alignment horizontal="center" vertical="center" wrapText="1"/>
    </xf>
    <xf numFmtId="43" fontId="1" fillId="39" borderId="16" xfId="66" applyFont="1" applyFill="1" applyBorder="1" applyAlignment="1">
      <alignment horizontal="center" vertical="center"/>
    </xf>
    <xf numFmtId="49" fontId="2" fillId="0" borderId="17"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3" fontId="2" fillId="39" borderId="0" xfId="66" applyFont="1" applyFill="1" applyAlignment="1">
      <alignment horizontal="center" vertical="center"/>
    </xf>
    <xf numFmtId="43" fontId="27" fillId="39" borderId="16" xfId="66" applyFont="1" applyFill="1" applyBorder="1" applyAlignment="1">
      <alignment horizontal="center" vertical="center" wrapText="1"/>
    </xf>
    <xf numFmtId="0" fontId="0" fillId="0" borderId="16" xfId="0" applyBorder="1" applyAlignment="1">
      <alignment wrapText="1"/>
    </xf>
    <xf numFmtId="0" fontId="2" fillId="0" borderId="16" xfId="0" applyFont="1" applyBorder="1" applyAlignment="1">
      <alignment vertical="center" wrapText="1"/>
    </xf>
    <xf numFmtId="49" fontId="31" fillId="0" borderId="1" xfId="0" applyNumberFormat="1" applyFont="1" applyBorder="1" applyAlignment="1">
      <alignment vertical="center" wrapText="1"/>
    </xf>
    <xf numFmtId="3" fontId="39" fillId="0" borderId="0" xfId="66" applyNumberFormat="1" applyFont="1" applyFill="1" applyBorder="1" applyAlignment="1">
      <alignment horizontal="center" wrapText="1"/>
    </xf>
    <xf numFmtId="3" fontId="43" fillId="0" borderId="0" xfId="0" applyNumberFormat="1" applyFont="1" applyAlignment="1">
      <alignment horizontal="center"/>
    </xf>
    <xf numFmtId="3" fontId="39" fillId="0" borderId="22" xfId="66" applyNumberFormat="1" applyFont="1" applyFill="1" applyBorder="1" applyAlignment="1">
      <alignment horizontal="center" wrapText="1"/>
    </xf>
    <xf numFmtId="3" fontId="39" fillId="0" borderId="22" xfId="66" applyNumberFormat="1" applyFont="1" applyFill="1" applyBorder="1" applyAlignment="1">
      <alignment horizontal="center"/>
    </xf>
    <xf numFmtId="0" fontId="26" fillId="35" borderId="1" xfId="0" applyFont="1" applyFill="1" applyBorder="1" applyAlignment="1">
      <alignment horizontal="center" vertical="center" wrapText="1"/>
    </xf>
    <xf numFmtId="0" fontId="26" fillId="35" borderId="1" xfId="0" applyFont="1" applyFill="1" applyBorder="1" applyAlignment="1">
      <alignment horizontal="left" vertical="center" wrapText="1"/>
    </xf>
    <xf numFmtId="49" fontId="26" fillId="35" borderId="1" xfId="0" applyNumberFormat="1" applyFont="1" applyFill="1" applyBorder="1" applyAlignment="1">
      <alignment horizontal="left" vertical="center" wrapText="1"/>
    </xf>
    <xf numFmtId="43" fontId="26" fillId="35" borderId="1" xfId="66" applyFont="1" applyFill="1" applyBorder="1" applyAlignment="1">
      <alignment horizontal="center" vertical="center" wrapText="1"/>
    </xf>
    <xf numFmtId="0" fontId="29" fillId="35" borderId="1" xfId="0" applyFont="1" applyFill="1" applyBorder="1" applyAlignment="1">
      <alignment horizontal="center" vertical="center" wrapText="1"/>
    </xf>
    <xf numFmtId="0" fontId="29" fillId="35" borderId="0" xfId="0" applyFont="1" applyFill="1" applyAlignment="1">
      <alignment wrapText="1"/>
    </xf>
    <xf numFmtId="0" fontId="46" fillId="0" borderId="0" xfId="0" applyFont="1"/>
    <xf numFmtId="0" fontId="50" fillId="0" borderId="0" xfId="0" applyFont="1" applyAlignment="1">
      <alignment horizontal="center" vertical="center" wrapText="1"/>
    </xf>
    <xf numFmtId="0" fontId="50" fillId="0" borderId="0" xfId="0" applyFont="1" applyAlignment="1">
      <alignment horizontal="center" vertical="center"/>
    </xf>
    <xf numFmtId="0" fontId="47" fillId="0" borderId="0" xfId="67" applyFont="1" applyFill="1"/>
    <xf numFmtId="164" fontId="46" fillId="0" borderId="0" xfId="0" applyNumberFormat="1" applyFont="1" applyAlignment="1">
      <alignment horizontal="center"/>
    </xf>
    <xf numFmtId="0" fontId="49" fillId="0" borderId="0" xfId="0" applyFont="1"/>
    <xf numFmtId="0" fontId="2" fillId="37" borderId="23" xfId="0" applyFont="1" applyFill="1" applyBorder="1" applyAlignment="1">
      <alignment horizontal="center" vertical="center" wrapText="1"/>
    </xf>
    <xf numFmtId="0" fontId="2" fillId="0" borderId="23" xfId="0" applyFont="1" applyBorder="1" applyAlignment="1">
      <alignment horizontal="left" vertical="center" wrapText="1"/>
    </xf>
    <xf numFmtId="49" fontId="29" fillId="0" borderId="1" xfId="0" applyNumberFormat="1" applyFont="1" applyBorder="1" applyAlignment="1">
      <alignment vertical="center" wrapText="1"/>
    </xf>
    <xf numFmtId="43" fontId="26" fillId="39" borderId="16" xfId="66" applyFont="1" applyFill="1" applyBorder="1" applyAlignment="1">
      <alignment horizontal="center" vertical="center" wrapText="1"/>
    </xf>
    <xf numFmtId="0" fontId="2" fillId="39" borderId="1" xfId="0" applyFont="1" applyFill="1" applyBorder="1" applyAlignment="1">
      <alignment horizontal="center" vertical="center" wrapText="1"/>
    </xf>
    <xf numFmtId="0" fontId="2" fillId="33" borderId="16" xfId="0" applyFont="1" applyFill="1" applyBorder="1" applyAlignment="1">
      <alignment horizontal="left" vertical="top" wrapText="1"/>
    </xf>
    <xf numFmtId="0" fontId="46" fillId="0" borderId="0" xfId="0" applyFont="1" applyAlignment="1">
      <alignment horizontal="left"/>
    </xf>
    <xf numFmtId="0" fontId="52" fillId="0" borderId="0" xfId="0" applyFont="1"/>
    <xf numFmtId="0" fontId="2" fillId="40" borderId="1" xfId="0" applyFont="1" applyFill="1" applyBorder="1" applyAlignment="1">
      <alignment horizontal="center" vertical="center" wrapText="1"/>
    </xf>
    <xf numFmtId="0" fontId="2" fillId="40" borderId="1" xfId="0" applyFont="1" applyFill="1" applyBorder="1" applyAlignment="1">
      <alignment horizontal="left" vertical="center" wrapText="1"/>
    </xf>
    <xf numFmtId="0" fontId="2" fillId="40" borderId="1" xfId="0" applyFont="1" applyFill="1" applyBorder="1" applyAlignment="1">
      <alignment wrapText="1"/>
    </xf>
    <xf numFmtId="49" fontId="2" fillId="40" borderId="1" xfId="0" applyNumberFormat="1" applyFont="1" applyFill="1" applyBorder="1" applyAlignment="1">
      <alignment horizontal="center" vertical="center" wrapText="1"/>
    </xf>
    <xf numFmtId="0" fontId="2" fillId="40" borderId="1" xfId="0" applyFont="1" applyFill="1" applyBorder="1" applyAlignment="1">
      <alignment vertical="center" wrapText="1"/>
    </xf>
    <xf numFmtId="0" fontId="1" fillId="40" borderId="1" xfId="0" applyFont="1" applyFill="1" applyBorder="1" applyAlignment="1">
      <alignment horizontal="center" vertical="center" wrapText="1"/>
    </xf>
    <xf numFmtId="0" fontId="1" fillId="38" borderId="13" xfId="0" applyFont="1" applyFill="1" applyBorder="1" applyAlignment="1">
      <alignment horizontal="center" vertical="center" wrapText="1"/>
    </xf>
    <xf numFmtId="0" fontId="2" fillId="0" borderId="15" xfId="0" applyFont="1" applyBorder="1" applyAlignment="1">
      <alignment horizontal="center" vertical="center" wrapText="1"/>
    </xf>
    <xf numFmtId="3" fontId="2" fillId="39" borderId="1" xfId="0" applyNumberFormat="1" applyFont="1" applyFill="1" applyBorder="1" applyAlignment="1">
      <alignment horizontal="center" vertical="center" wrapText="1"/>
    </xf>
    <xf numFmtId="3" fontId="2" fillId="39" borderId="2" xfId="0" applyNumberFormat="1" applyFont="1" applyFill="1" applyBorder="1" applyAlignment="1">
      <alignment horizontal="center" vertical="center" wrapText="1"/>
    </xf>
    <xf numFmtId="3" fontId="26" fillId="39" borderId="1" xfId="0" applyNumberFormat="1" applyFont="1" applyFill="1" applyBorder="1" applyAlignment="1">
      <alignment horizontal="center" vertical="center" wrapText="1"/>
    </xf>
    <xf numFmtId="3" fontId="2" fillId="39" borderId="16" xfId="0" applyNumberFormat="1" applyFont="1" applyFill="1" applyBorder="1" applyAlignment="1">
      <alignment horizontal="center" vertical="center" wrapText="1"/>
    </xf>
    <xf numFmtId="0" fontId="27" fillId="39" borderId="16" xfId="0" applyFont="1" applyFill="1" applyBorder="1" applyAlignment="1">
      <alignment horizontal="center" vertical="center" wrapText="1"/>
    </xf>
    <xf numFmtId="3" fontId="2" fillId="39" borderId="1" xfId="62" applyNumberFormat="1" applyFont="1" applyFill="1" applyBorder="1" applyAlignment="1">
      <alignment horizontal="center" vertical="center" wrapText="1"/>
    </xf>
    <xf numFmtId="49" fontId="2" fillId="0" borderId="1" xfId="0" applyNumberFormat="1" applyFont="1" applyBorder="1" applyAlignment="1">
      <alignment wrapText="1"/>
    </xf>
    <xf numFmtId="0" fontId="0" fillId="0" borderId="1" xfId="0" applyBorder="1"/>
    <xf numFmtId="49" fontId="2" fillId="39" borderId="1" xfId="0" applyNumberFormat="1" applyFont="1" applyFill="1" applyBorder="1" applyAlignment="1">
      <alignment horizontal="center" vertical="center" wrapText="1"/>
    </xf>
    <xf numFmtId="0" fontId="2" fillId="0" borderId="24" xfId="0" applyFont="1" applyBorder="1" applyAlignment="1">
      <alignment vertical="top" wrapText="1"/>
    </xf>
    <xf numFmtId="0" fontId="2" fillId="0" borderId="24" xfId="0"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horizontal="left" vertical="top" wrapText="1"/>
    </xf>
    <xf numFmtId="0" fontId="24" fillId="0" borderId="0" xfId="67" applyFill="1" applyAlignment="1">
      <alignment vertical="center"/>
    </xf>
    <xf numFmtId="0" fontId="49" fillId="0" borderId="0" xfId="0" applyFont="1" applyAlignment="1">
      <alignment horizontal="left" vertical="center"/>
    </xf>
    <xf numFmtId="164" fontId="49" fillId="0" borderId="0" xfId="0" applyNumberFormat="1" applyFont="1" applyAlignment="1">
      <alignment horizontal="center"/>
    </xf>
    <xf numFmtId="3" fontId="49" fillId="0" borderId="0" xfId="0" applyNumberFormat="1" applyFont="1" applyAlignment="1">
      <alignment horizontal="center"/>
    </xf>
    <xf numFmtId="164" fontId="49" fillId="0" borderId="0" xfId="0" applyNumberFormat="1" applyFont="1" applyAlignment="1">
      <alignment horizont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5" xfId="0" applyFont="1" applyBorder="1" applyAlignment="1">
      <alignment vertical="top" wrapText="1"/>
    </xf>
    <xf numFmtId="0" fontId="2" fillId="35" borderId="25" xfId="0" applyFont="1" applyFill="1" applyBorder="1" applyAlignment="1">
      <alignment horizontal="center" vertical="center" wrapText="1"/>
    </xf>
    <xf numFmtId="0" fontId="26" fillId="0" borderId="25" xfId="0" applyFont="1" applyBorder="1" applyAlignment="1">
      <alignment horizontal="left" vertical="top" wrapText="1"/>
    </xf>
    <xf numFmtId="0" fontId="2" fillId="35" borderId="25" xfId="0" applyFont="1" applyFill="1" applyBorder="1" applyAlignment="1">
      <alignment horizontal="left" vertical="top" wrapText="1"/>
    </xf>
    <xf numFmtId="0" fontId="26" fillId="0" borderId="25" xfId="0" applyFont="1" applyBorder="1" applyAlignment="1">
      <alignment horizontal="left" vertical="center" wrapText="1"/>
    </xf>
    <xf numFmtId="0" fontId="2" fillId="0" borderId="21" xfId="0" applyFont="1" applyBorder="1" applyAlignment="1">
      <alignment horizontal="left" vertical="center" wrapText="1"/>
    </xf>
    <xf numFmtId="0" fontId="2" fillId="0" borderId="21" xfId="0" applyFont="1" applyBorder="1" applyAlignment="1">
      <alignment horizontal="left" vertical="center"/>
    </xf>
    <xf numFmtId="0" fontId="26" fillId="0" borderId="21" xfId="0" applyFont="1" applyBorder="1" applyAlignment="1">
      <alignment horizontal="left" vertical="center"/>
    </xf>
    <xf numFmtId="0" fontId="2" fillId="0" borderId="0" xfId="0" applyFont="1" applyAlignment="1">
      <alignment horizontal="left" vertical="center"/>
    </xf>
    <xf numFmtId="0" fontId="26" fillId="0" borderId="15" xfId="0" applyFont="1" applyBorder="1" applyAlignment="1">
      <alignment horizontal="left" vertical="center"/>
    </xf>
    <xf numFmtId="0" fontId="2" fillId="0" borderId="24" xfId="0" applyFont="1" applyBorder="1" applyAlignment="1">
      <alignment horizontal="left" wrapText="1"/>
    </xf>
    <xf numFmtId="0" fontId="2" fillId="0" borderId="1" xfId="0" applyFont="1" applyBorder="1" applyAlignment="1">
      <alignment horizontal="left" wrapText="1"/>
    </xf>
    <xf numFmtId="0" fontId="32" fillId="0" borderId="1" xfId="67" applyFont="1" applyBorder="1" applyAlignment="1">
      <alignment horizontal="left" vertical="center" wrapText="1"/>
    </xf>
    <xf numFmtId="0" fontId="1" fillId="0" borderId="1" xfId="0" applyFont="1" applyBorder="1" applyAlignment="1">
      <alignment horizontal="left" wrapText="1"/>
    </xf>
    <xf numFmtId="0" fontId="2" fillId="0" borderId="1" xfId="0" applyFont="1" applyBorder="1" applyAlignment="1">
      <alignment horizontal="left" vertical="center"/>
    </xf>
    <xf numFmtId="0" fontId="26" fillId="0" borderId="1" xfId="0" applyFont="1" applyBorder="1" applyAlignment="1">
      <alignment horizontal="left" vertical="center"/>
    </xf>
    <xf numFmtId="0" fontId="2" fillId="33" borderId="1" xfId="0" applyFont="1" applyFill="1" applyBorder="1" applyAlignment="1">
      <alignment wrapText="1"/>
    </xf>
    <xf numFmtId="0" fontId="1" fillId="0" borderId="23" xfId="0" applyFont="1" applyBorder="1" applyAlignment="1">
      <alignment horizontal="center" wrapText="1"/>
    </xf>
    <xf numFmtId="0" fontId="2" fillId="0" borderId="21" xfId="0" applyFont="1" applyBorder="1" applyAlignment="1">
      <alignment horizontal="center" vertical="center" wrapText="1"/>
    </xf>
    <xf numFmtId="0" fontId="27" fillId="0" borderId="21" xfId="0" applyFont="1" applyBorder="1" applyAlignment="1">
      <alignment horizontal="center" vertical="center" wrapText="1"/>
    </xf>
    <xf numFmtId="0" fontId="24" fillId="0" borderId="0" xfId="67" applyFill="1" applyAlignment="1">
      <alignment vertical="center" wrapText="1"/>
    </xf>
    <xf numFmtId="0" fontId="26" fillId="0" borderId="16" xfId="0" applyFont="1" applyBorder="1" applyAlignment="1">
      <alignment horizontal="left" vertical="center" wrapText="1"/>
    </xf>
    <xf numFmtId="0" fontId="2" fillId="0" borderId="3" xfId="0" applyFont="1" applyBorder="1" applyAlignment="1">
      <alignment wrapText="1"/>
    </xf>
    <xf numFmtId="0" fontId="0" fillId="0" borderId="16" xfId="0" applyBorder="1" applyAlignment="1">
      <alignment horizontal="center" vertical="center"/>
    </xf>
    <xf numFmtId="0" fontId="27" fillId="33" borderId="16" xfId="0" applyFont="1" applyFill="1" applyBorder="1" applyAlignment="1">
      <alignment horizontal="left" vertical="top" wrapText="1"/>
    </xf>
    <xf numFmtId="0" fontId="2" fillId="0" borderId="1" xfId="0" applyFont="1" applyBorder="1" applyAlignment="1">
      <alignment horizontal="center" wrapText="1"/>
    </xf>
    <xf numFmtId="0" fontId="24" fillId="0" borderId="1" xfId="67" applyFill="1" applyBorder="1" applyAlignment="1">
      <alignment horizontal="center" vertical="center"/>
    </xf>
    <xf numFmtId="0" fontId="27" fillId="0" borderId="3" xfId="0" applyFont="1" applyBorder="1" applyAlignment="1">
      <alignment wrapText="1"/>
    </xf>
    <xf numFmtId="0" fontId="36" fillId="0" borderId="21" xfId="67" applyFont="1" applyFill="1" applyBorder="1" applyAlignment="1">
      <alignment horizontal="left" vertical="center"/>
    </xf>
    <xf numFmtId="0" fontId="26" fillId="36" borderId="16" xfId="0" applyFont="1" applyFill="1" applyBorder="1" applyAlignment="1">
      <alignment vertical="center" wrapText="1"/>
    </xf>
    <xf numFmtId="0" fontId="28" fillId="0" borderId="16" xfId="67" applyFont="1" applyFill="1" applyBorder="1" applyAlignment="1">
      <alignment horizontal="center" vertical="center"/>
    </xf>
    <xf numFmtId="0" fontId="54" fillId="0" borderId="0" xfId="67" applyFont="1" applyFill="1" applyAlignment="1">
      <alignment horizontal="left" vertical="center"/>
    </xf>
    <xf numFmtId="0" fontId="54" fillId="0" borderId="15" xfId="67" applyFont="1" applyBorder="1" applyAlignment="1">
      <alignment horizontal="left" vertical="center" wrapText="1"/>
    </xf>
    <xf numFmtId="0" fontId="26" fillId="0" borderId="16" xfId="67" applyFont="1" applyFill="1" applyBorder="1" applyAlignment="1">
      <alignment horizontal="center" vertical="center"/>
    </xf>
    <xf numFmtId="0" fontId="2" fillId="0" borderId="27" xfId="0" applyFont="1" applyBorder="1" applyAlignment="1">
      <alignment horizontal="left" vertical="top" wrapText="1"/>
    </xf>
    <xf numFmtId="0" fontId="26" fillId="0" borderId="21" xfId="0" applyFont="1" applyBorder="1" applyAlignment="1">
      <alignment horizontal="left" vertical="center" wrapText="1"/>
    </xf>
    <xf numFmtId="0" fontId="2" fillId="0" borderId="15" xfId="0" applyFont="1" applyBorder="1" applyAlignment="1">
      <alignment horizontal="left" vertical="center"/>
    </xf>
    <xf numFmtId="49" fontId="43" fillId="0" borderId="0" xfId="0" applyNumberFormat="1" applyFont="1"/>
    <xf numFmtId="49" fontId="48" fillId="0" borderId="0" xfId="0" applyNumberFormat="1" applyFont="1"/>
    <xf numFmtId="49" fontId="0" fillId="0" borderId="0" xfId="0" applyNumberFormat="1"/>
    <xf numFmtId="49" fontId="28" fillId="0" borderId="0" xfId="0" applyNumberFormat="1" applyFont="1"/>
    <xf numFmtId="3" fontId="26" fillId="39" borderId="1" xfId="66" applyNumberFormat="1" applyFont="1" applyFill="1" applyBorder="1" applyAlignment="1">
      <alignment horizontal="center" vertical="center" wrapText="1"/>
    </xf>
    <xf numFmtId="3" fontId="26" fillId="39" borderId="0" xfId="0" applyNumberFormat="1" applyFont="1" applyFill="1" applyAlignment="1">
      <alignment horizontal="center" vertical="center" wrapText="1"/>
    </xf>
    <xf numFmtId="3" fontId="2" fillId="39" borderId="0" xfId="0" applyNumberFormat="1" applyFont="1" applyFill="1" applyAlignment="1">
      <alignment horizontal="center" vertical="center" wrapText="1"/>
    </xf>
    <xf numFmtId="3" fontId="26" fillId="39" borderId="16" xfId="0" applyNumberFormat="1" applyFont="1" applyFill="1" applyBorder="1" applyAlignment="1">
      <alignment horizontal="center" vertical="center" wrapText="1"/>
    </xf>
    <xf numFmtId="3" fontId="27" fillId="39" borderId="1" xfId="0" applyNumberFormat="1" applyFont="1" applyFill="1" applyBorder="1" applyAlignment="1">
      <alignment horizontal="center" vertical="center" wrapText="1"/>
    </xf>
    <xf numFmtId="3" fontId="27" fillId="35" borderId="1" xfId="0" applyNumberFormat="1" applyFont="1" applyFill="1" applyBorder="1" applyAlignment="1">
      <alignment horizontal="center" vertical="center" wrapText="1"/>
    </xf>
    <xf numFmtId="0" fontId="37" fillId="0" borderId="1" xfId="0" applyFont="1" applyBorder="1" applyAlignment="1">
      <alignment horizontal="center" wrapText="1"/>
    </xf>
    <xf numFmtId="165" fontId="37" fillId="0" borderId="1" xfId="66" applyNumberFormat="1" applyFont="1" applyFill="1" applyBorder="1" applyAlignment="1">
      <alignment horizontal="left"/>
    </xf>
    <xf numFmtId="3" fontId="37" fillId="0" borderId="1" xfId="66" applyNumberFormat="1" applyFont="1" applyFill="1" applyBorder="1" applyAlignment="1">
      <alignment horizontal="left"/>
    </xf>
    <xf numFmtId="3" fontId="37" fillId="0" borderId="1" xfId="66" applyNumberFormat="1" applyFont="1" applyFill="1" applyBorder="1" applyAlignment="1">
      <alignment horizontal="center"/>
    </xf>
    <xf numFmtId="165" fontId="37" fillId="0" borderId="1" xfId="66" applyNumberFormat="1" applyFont="1" applyFill="1" applyBorder="1"/>
    <xf numFmtId="165" fontId="37" fillId="0" borderId="1" xfId="66" applyNumberFormat="1" applyFont="1" applyFill="1" applyBorder="1" applyAlignment="1">
      <alignment horizontal="center"/>
    </xf>
    <xf numFmtId="0" fontId="37" fillId="0" borderId="1" xfId="0" applyFont="1" applyBorder="1"/>
    <xf numFmtId="0" fontId="38" fillId="33" borderId="1" xfId="0" applyFont="1" applyFill="1" applyBorder="1" applyAlignment="1">
      <alignment horizontal="center" wrapText="1"/>
    </xf>
    <xf numFmtId="0" fontId="38" fillId="0" borderId="1" xfId="0" applyFont="1" applyBorder="1" applyAlignment="1">
      <alignment horizontal="center" wrapText="1"/>
    </xf>
    <xf numFmtId="0" fontId="37" fillId="0" borderId="1" xfId="0" applyFont="1" applyBorder="1" applyAlignment="1">
      <alignment horizontal="left" wrapText="1"/>
    </xf>
    <xf numFmtId="0" fontId="39" fillId="0" borderId="1" xfId="0" applyFont="1" applyBorder="1" applyAlignment="1">
      <alignment horizontal="left" wrapText="1"/>
    </xf>
    <xf numFmtId="3" fontId="39" fillId="0" borderId="1" xfId="66" applyNumberFormat="1" applyFont="1" applyFill="1" applyBorder="1" applyAlignment="1">
      <alignment horizontal="center"/>
    </xf>
    <xf numFmtId="0" fontId="37" fillId="0" borderId="18" xfId="0" applyFont="1" applyBorder="1" applyAlignment="1">
      <alignment horizontal="center" wrapText="1"/>
    </xf>
    <xf numFmtId="0" fontId="37" fillId="0" borderId="18" xfId="0" applyFont="1" applyBorder="1" applyAlignment="1">
      <alignment horizontal="left" wrapText="1"/>
    </xf>
    <xf numFmtId="165" fontId="37" fillId="0" borderId="18" xfId="66" applyNumberFormat="1" applyFont="1" applyFill="1" applyBorder="1" applyAlignment="1">
      <alignment horizontal="left"/>
    </xf>
    <xf numFmtId="3" fontId="37" fillId="0" borderId="18" xfId="66" applyNumberFormat="1" applyFont="1" applyFill="1" applyBorder="1" applyAlignment="1">
      <alignment horizontal="left"/>
    </xf>
    <xf numFmtId="3" fontId="37" fillId="0" borderId="18" xfId="66" applyNumberFormat="1" applyFont="1" applyFill="1" applyBorder="1" applyAlignment="1">
      <alignment horizontal="center"/>
    </xf>
    <xf numFmtId="0" fontId="38" fillId="33" borderId="2" xfId="0" applyFont="1" applyFill="1" applyBorder="1" applyAlignment="1">
      <alignment horizontal="center" wrapText="1"/>
    </xf>
    <xf numFmtId="0" fontId="38" fillId="0" borderId="2" xfId="0" applyFont="1" applyBorder="1" applyAlignment="1">
      <alignment horizontal="center" wrapText="1"/>
    </xf>
    <xf numFmtId="0" fontId="38" fillId="0" borderId="2" xfId="0" applyFont="1" applyBorder="1" applyAlignment="1">
      <alignment horizontal="left" wrapText="1"/>
    </xf>
    <xf numFmtId="0" fontId="39" fillId="0" borderId="2" xfId="0" applyFont="1" applyBorder="1" applyAlignment="1">
      <alignment horizontal="left" wrapText="1"/>
    </xf>
    <xf numFmtId="165" fontId="37" fillId="0" borderId="2" xfId="66" applyNumberFormat="1" applyFont="1" applyFill="1" applyBorder="1"/>
    <xf numFmtId="3" fontId="38" fillId="0" borderId="2" xfId="66" applyNumberFormat="1" applyFont="1" applyFill="1" applyBorder="1" applyAlignment="1">
      <alignment horizontal="center"/>
    </xf>
    <xf numFmtId="165" fontId="37" fillId="0" borderId="2" xfId="66" applyNumberFormat="1" applyFont="1" applyFill="1" applyBorder="1" applyAlignment="1">
      <alignment horizontal="center"/>
    </xf>
    <xf numFmtId="0" fontId="39" fillId="0" borderId="1" xfId="0" applyFont="1" applyBorder="1" applyAlignment="1">
      <alignment horizontal="center" wrapText="1"/>
    </xf>
    <xf numFmtId="165" fontId="37" fillId="0" borderId="1" xfId="66" applyNumberFormat="1" applyFont="1" applyFill="1" applyBorder="1" applyAlignment="1">
      <alignment horizontal="left" wrapText="1"/>
    </xf>
    <xf numFmtId="3" fontId="39" fillId="0" borderId="1" xfId="66" applyNumberFormat="1" applyFont="1" applyFill="1" applyBorder="1" applyAlignment="1">
      <alignment horizontal="center" wrapText="1"/>
    </xf>
    <xf numFmtId="165" fontId="37" fillId="0" borderId="1" xfId="66" applyNumberFormat="1" applyFont="1" applyFill="1" applyBorder="1" applyAlignment="1">
      <alignment wrapText="1"/>
    </xf>
    <xf numFmtId="0" fontId="41" fillId="0" borderId="1" xfId="0" applyFont="1" applyBorder="1"/>
    <xf numFmtId="0" fontId="41" fillId="0" borderId="1" xfId="0" applyFont="1" applyBorder="1" applyAlignment="1">
      <alignment vertical="top"/>
    </xf>
    <xf numFmtId="0" fontId="38" fillId="0" borderId="18" xfId="0" applyFont="1" applyBorder="1" applyAlignment="1">
      <alignment horizontal="center" wrapText="1"/>
    </xf>
    <xf numFmtId="165" fontId="37" fillId="0" borderId="18" xfId="66" applyNumberFormat="1" applyFont="1" applyFill="1" applyBorder="1" applyAlignment="1">
      <alignment horizontal="left" wrapText="1"/>
    </xf>
    <xf numFmtId="3" fontId="38" fillId="0" borderId="18" xfId="66" applyNumberFormat="1" applyFont="1" applyFill="1" applyBorder="1" applyAlignment="1">
      <alignment horizontal="center"/>
    </xf>
    <xf numFmtId="165" fontId="37" fillId="0" borderId="18" xfId="66" applyNumberFormat="1" applyFont="1" applyFill="1" applyBorder="1" applyAlignment="1">
      <alignment horizontal="center"/>
    </xf>
    <xf numFmtId="165" fontId="37" fillId="0" borderId="2" xfId="66" applyNumberFormat="1" applyFont="1" applyFill="1" applyBorder="1" applyAlignment="1">
      <alignment horizontal="left" wrapText="1"/>
    </xf>
    <xf numFmtId="3" fontId="39" fillId="0" borderId="2" xfId="66" applyNumberFormat="1" applyFont="1" applyFill="1" applyBorder="1" applyAlignment="1">
      <alignment horizontal="center" wrapText="1"/>
    </xf>
    <xf numFmtId="165" fontId="37" fillId="0" borderId="2" xfId="66" applyNumberFormat="1" applyFont="1" applyFill="1" applyBorder="1" applyAlignment="1">
      <alignment wrapText="1"/>
    </xf>
    <xf numFmtId="0" fontId="40" fillId="0" borderId="1" xfId="0" applyFont="1" applyBorder="1" applyAlignment="1">
      <alignment horizontal="center" wrapText="1"/>
    </xf>
    <xf numFmtId="49" fontId="43" fillId="0" borderId="1" xfId="0" applyNumberFormat="1" applyFont="1" applyBorder="1"/>
    <xf numFmtId="0" fontId="40" fillId="0" borderId="18" xfId="0" applyFont="1" applyBorder="1" applyAlignment="1">
      <alignment horizontal="center" wrapText="1"/>
    </xf>
    <xf numFmtId="0" fontId="41" fillId="0" borderId="18" xfId="0" applyFont="1" applyBorder="1" applyAlignment="1">
      <alignment wrapText="1"/>
    </xf>
    <xf numFmtId="3" fontId="39" fillId="0" borderId="18" xfId="66" applyNumberFormat="1" applyFont="1" applyFill="1" applyBorder="1" applyAlignment="1">
      <alignment horizontal="center"/>
    </xf>
    <xf numFmtId="3" fontId="39" fillId="0" borderId="18" xfId="66" applyNumberFormat="1" applyFont="1" applyFill="1" applyBorder="1" applyAlignment="1">
      <alignment horizontal="center" wrapText="1"/>
    </xf>
    <xf numFmtId="165" fontId="37" fillId="0" borderId="18" xfId="66" applyNumberFormat="1" applyFont="1" applyFill="1" applyBorder="1" applyAlignment="1">
      <alignment wrapText="1"/>
    </xf>
    <xf numFmtId="0" fontId="40" fillId="0" borderId="1" xfId="0" applyFont="1" applyBorder="1" applyAlignment="1">
      <alignment horizontal="left" wrapText="1"/>
    </xf>
    <xf numFmtId="0" fontId="40" fillId="0" borderId="18" xfId="0" applyFont="1" applyBorder="1" applyAlignment="1">
      <alignment horizontal="left" wrapText="1"/>
    </xf>
    <xf numFmtId="0" fontId="39" fillId="0" borderId="1" xfId="0" applyFont="1" applyBorder="1" applyAlignment="1">
      <alignment horizontal="center"/>
    </xf>
    <xf numFmtId="49" fontId="48" fillId="0" borderId="1" xfId="0" applyNumberFormat="1" applyFont="1" applyBorder="1"/>
    <xf numFmtId="165" fontId="38" fillId="0" borderId="1" xfId="66" applyNumberFormat="1" applyFont="1" applyFill="1" applyBorder="1" applyAlignment="1">
      <alignment horizontal="left"/>
    </xf>
    <xf numFmtId="165" fontId="57" fillId="0" borderId="1" xfId="66" applyNumberFormat="1" applyFont="1" applyFill="1" applyBorder="1" applyAlignment="1">
      <alignment horizontal="left"/>
    </xf>
    <xf numFmtId="3" fontId="56" fillId="0" borderId="1" xfId="66" applyNumberFormat="1" applyFont="1" applyFill="1" applyBorder="1" applyAlignment="1">
      <alignment horizontal="center" wrapText="1"/>
    </xf>
    <xf numFmtId="165" fontId="38" fillId="0" borderId="1" xfId="66" applyNumberFormat="1" applyFont="1" applyFill="1" applyBorder="1"/>
    <xf numFmtId="165" fontId="38" fillId="0" borderId="1" xfId="66" applyNumberFormat="1" applyFont="1" applyFill="1" applyBorder="1" applyAlignment="1">
      <alignment horizontal="left" wrapText="1"/>
    </xf>
    <xf numFmtId="3" fontId="43" fillId="0" borderId="1" xfId="0" applyNumberFormat="1" applyFont="1" applyBorder="1" applyAlignment="1">
      <alignment horizontal="center"/>
    </xf>
    <xf numFmtId="3" fontId="38" fillId="0" borderId="1" xfId="66" applyNumberFormat="1" applyFont="1" applyFill="1" applyBorder="1" applyAlignment="1">
      <alignment horizontal="center"/>
    </xf>
    <xf numFmtId="3" fontId="48" fillId="0" borderId="1" xfId="0" applyNumberFormat="1" applyFont="1" applyBorder="1" applyAlignment="1">
      <alignment horizontal="center"/>
    </xf>
    <xf numFmtId="0" fontId="38" fillId="0" borderId="18" xfId="0" applyFont="1" applyBorder="1" applyAlignment="1">
      <alignment horizontal="left" wrapText="1"/>
    </xf>
    <xf numFmtId="0" fontId="39" fillId="0" borderId="18" xfId="0" applyFont="1" applyBorder="1" applyAlignment="1">
      <alignment horizontal="left" wrapText="1"/>
    </xf>
    <xf numFmtId="3" fontId="39" fillId="0" borderId="2" xfId="66" applyNumberFormat="1" applyFont="1" applyFill="1" applyBorder="1" applyAlignment="1">
      <alignment horizontal="center"/>
    </xf>
    <xf numFmtId="0" fontId="38" fillId="33" borderId="2" xfId="0" applyFont="1" applyFill="1" applyBorder="1" applyAlignment="1">
      <alignment horizontal="center"/>
    </xf>
    <xf numFmtId="0" fontId="38" fillId="0" borderId="2" xfId="0" applyFont="1" applyBorder="1" applyAlignment="1">
      <alignment horizontal="center"/>
    </xf>
    <xf numFmtId="165" fontId="37" fillId="0" borderId="2" xfId="66" applyNumberFormat="1" applyFont="1" applyFill="1" applyBorder="1" applyAlignment="1">
      <alignment horizontal="left"/>
    </xf>
    <xf numFmtId="0" fontId="37" fillId="0" borderId="1" xfId="0" applyFont="1" applyBorder="1" applyAlignment="1">
      <alignment horizontal="center"/>
    </xf>
    <xf numFmtId="0" fontId="38" fillId="0" borderId="1" xfId="0" applyFont="1" applyBorder="1" applyAlignment="1">
      <alignment horizontal="center"/>
    </xf>
    <xf numFmtId="0" fontId="38" fillId="0" borderId="18" xfId="0" applyFont="1" applyBorder="1" applyAlignment="1">
      <alignment horizontal="center"/>
    </xf>
    <xf numFmtId="0" fontId="41" fillId="0" borderId="18" xfId="0" applyFont="1" applyBorder="1"/>
    <xf numFmtId="165" fontId="37" fillId="0" borderId="18" xfId="66" applyNumberFormat="1" applyFont="1" applyFill="1" applyBorder="1"/>
    <xf numFmtId="0" fontId="41" fillId="0" borderId="2" xfId="0" applyFont="1" applyBorder="1"/>
    <xf numFmtId="165" fontId="40" fillId="0" borderId="2" xfId="66" applyNumberFormat="1" applyFont="1" applyFill="1" applyBorder="1" applyAlignment="1">
      <alignment horizontal="left"/>
    </xf>
    <xf numFmtId="0" fontId="39" fillId="0" borderId="1" xfId="0" applyFont="1" applyBorder="1"/>
    <xf numFmtId="0" fontId="39" fillId="0" borderId="18" xfId="0" applyFont="1" applyBorder="1" applyAlignment="1">
      <alignment horizontal="center" wrapText="1"/>
    </xf>
    <xf numFmtId="0" fontId="28" fillId="0" borderId="1" xfId="0" applyFont="1" applyBorder="1"/>
    <xf numFmtId="165" fontId="38" fillId="0" borderId="1" xfId="66" applyNumberFormat="1" applyFont="1" applyFill="1" applyBorder="1" applyAlignment="1">
      <alignment wrapText="1"/>
    </xf>
    <xf numFmtId="3" fontId="48" fillId="0" borderId="1" xfId="0" applyNumberFormat="1" applyFont="1" applyBorder="1" applyAlignment="1">
      <alignment horizontal="center" vertical="center"/>
    </xf>
    <xf numFmtId="0" fontId="41" fillId="0" borderId="1" xfId="0" applyFont="1" applyBorder="1" applyAlignment="1">
      <alignment horizontal="center"/>
    </xf>
    <xf numFmtId="165" fontId="57" fillId="0" borderId="1" xfId="66" applyNumberFormat="1" applyFont="1" applyFill="1" applyBorder="1" applyAlignment="1">
      <alignment horizontal="left" wrapText="1"/>
    </xf>
    <xf numFmtId="0" fontId="43" fillId="0" borderId="1" xfId="0" applyFont="1" applyBorder="1" applyAlignment="1">
      <alignment horizontal="center" vertical="center"/>
    </xf>
    <xf numFmtId="3" fontId="58" fillId="0" borderId="1" xfId="0" applyNumberFormat="1" applyFont="1" applyBorder="1" applyAlignment="1">
      <alignment horizontal="center"/>
    </xf>
    <xf numFmtId="165" fontId="59" fillId="0" borderId="2" xfId="66" applyNumberFormat="1" applyFont="1" applyFill="1" applyBorder="1"/>
    <xf numFmtId="0" fontId="41" fillId="0" borderId="18" xfId="0" applyFont="1" applyBorder="1" applyAlignment="1">
      <alignment horizontal="center" vertical="center" wrapText="1"/>
    </xf>
    <xf numFmtId="0" fontId="45" fillId="0" borderId="2" xfId="0" applyFont="1" applyBorder="1" applyAlignment="1">
      <alignment horizontal="center" vertical="center" wrapText="1"/>
    </xf>
    <xf numFmtId="0" fontId="41" fillId="0" borderId="1" xfId="0" applyFont="1" applyBorder="1" applyAlignment="1">
      <alignment horizontal="center" vertical="center" wrapText="1"/>
    </xf>
    <xf numFmtId="3" fontId="43" fillId="0" borderId="1" xfId="66" applyNumberFormat="1" applyFont="1" applyFill="1" applyBorder="1" applyAlignment="1">
      <alignment horizontal="center"/>
    </xf>
    <xf numFmtId="3" fontId="48" fillId="0" borderId="1" xfId="66" applyNumberFormat="1" applyFont="1" applyFill="1" applyBorder="1" applyAlignment="1">
      <alignment horizontal="center"/>
    </xf>
    <xf numFmtId="165" fontId="38" fillId="0" borderId="13" xfId="66" applyNumberFormat="1" applyFont="1" applyFill="1" applyBorder="1" applyAlignment="1">
      <alignment horizontal="left"/>
    </xf>
    <xf numFmtId="3" fontId="43" fillId="0" borderId="1" xfId="0" applyNumberFormat="1" applyFont="1" applyBorder="1" applyAlignment="1">
      <alignment horizontal="center" vertical="center"/>
    </xf>
    <xf numFmtId="0" fontId="41" fillId="0" borderId="18" xfId="0" applyFont="1" applyBorder="1" applyAlignment="1">
      <alignment vertical="top"/>
    </xf>
    <xf numFmtId="0" fontId="39" fillId="0" borderId="16" xfId="0" applyFont="1" applyBorder="1" applyAlignment="1">
      <alignment horizontal="center" wrapText="1"/>
    </xf>
    <xf numFmtId="0" fontId="39" fillId="0" borderId="2" xfId="0" applyFont="1" applyBorder="1" applyAlignment="1">
      <alignment horizontal="center" wrapText="1"/>
    </xf>
    <xf numFmtId="0" fontId="45" fillId="0" borderId="14" xfId="0" applyFont="1" applyBorder="1"/>
    <xf numFmtId="0" fontId="41" fillId="0" borderId="14" xfId="0" applyFont="1" applyBorder="1"/>
    <xf numFmtId="165" fontId="37" fillId="0" borderId="14" xfId="66" applyNumberFormat="1" applyFont="1" applyFill="1" applyBorder="1" applyAlignment="1">
      <alignment horizontal="left" wrapText="1"/>
    </xf>
    <xf numFmtId="3" fontId="39" fillId="0" borderId="14" xfId="66" applyNumberFormat="1" applyFont="1" applyFill="1" applyBorder="1" applyAlignment="1">
      <alignment horizontal="center"/>
    </xf>
    <xf numFmtId="165" fontId="37" fillId="0" borderId="14" xfId="66" applyNumberFormat="1" applyFont="1" applyFill="1" applyBorder="1"/>
    <xf numFmtId="49" fontId="28" fillId="0" borderId="1" xfId="0" applyNumberFormat="1" applyFont="1" applyBorder="1"/>
    <xf numFmtId="3" fontId="28" fillId="0" borderId="1" xfId="0" applyNumberFormat="1" applyFont="1" applyBorder="1" applyAlignment="1">
      <alignment horizontal="center" vertical="center"/>
    </xf>
    <xf numFmtId="49" fontId="0" fillId="0" borderId="1" xfId="0" applyNumberFormat="1" applyBorder="1"/>
    <xf numFmtId="3" fontId="0" fillId="0" borderId="1" xfId="0" applyNumberFormat="1" applyBorder="1" applyAlignment="1">
      <alignment horizontal="center" vertical="center"/>
    </xf>
    <xf numFmtId="0" fontId="41" fillId="0" borderId="30" xfId="0" applyFont="1" applyBorder="1"/>
    <xf numFmtId="165" fontId="37" fillId="0" borderId="30" xfId="66" applyNumberFormat="1" applyFont="1" applyFill="1" applyBorder="1" applyAlignment="1">
      <alignment horizontal="left" wrapText="1"/>
    </xf>
    <xf numFmtId="3" fontId="39" fillId="0" borderId="30" xfId="66" applyNumberFormat="1" applyFont="1" applyFill="1" applyBorder="1" applyAlignment="1">
      <alignment horizontal="center"/>
    </xf>
    <xf numFmtId="165" fontId="37" fillId="0" borderId="30" xfId="66" applyNumberFormat="1" applyFont="1" applyFill="1" applyBorder="1"/>
    <xf numFmtId="3" fontId="40" fillId="0" borderId="1" xfId="66" applyNumberFormat="1" applyFont="1" applyFill="1" applyBorder="1" applyAlignment="1">
      <alignment horizontal="center"/>
    </xf>
    <xf numFmtId="0" fontId="61" fillId="0" borderId="1" xfId="0" applyFont="1" applyBorder="1"/>
    <xf numFmtId="0" fontId="38" fillId="0" borderId="1" xfId="0" applyFont="1" applyBorder="1" applyAlignment="1">
      <alignment horizontal="left" wrapText="1"/>
    </xf>
    <xf numFmtId="3" fontId="40" fillId="0" borderId="2" xfId="66" applyNumberFormat="1" applyFont="1" applyFill="1" applyBorder="1" applyAlignment="1">
      <alignment horizontal="center" wrapText="1"/>
    </xf>
    <xf numFmtId="165" fontId="37" fillId="0" borderId="1" xfId="0" applyNumberFormat="1" applyFont="1" applyBorder="1" applyAlignment="1">
      <alignment horizontal="center"/>
    </xf>
    <xf numFmtId="0" fontId="0" fillId="0" borderId="18" xfId="0" applyBorder="1"/>
    <xf numFmtId="0" fontId="38" fillId="33" borderId="14" xfId="0" applyFont="1" applyFill="1" applyBorder="1" applyAlignment="1">
      <alignment horizontal="center" wrapText="1"/>
    </xf>
    <xf numFmtId="0" fontId="37" fillId="0" borderId="14" xfId="0" applyFont="1" applyBorder="1" applyAlignment="1">
      <alignment horizontal="center" wrapText="1"/>
    </xf>
    <xf numFmtId="0" fontId="28" fillId="0" borderId="14" xfId="67" applyFont="1" applyBorder="1"/>
    <xf numFmtId="0" fontId="0" fillId="0" borderId="14" xfId="0" applyBorder="1"/>
    <xf numFmtId="3" fontId="39" fillId="0" borderId="14" xfId="66" applyNumberFormat="1" applyFont="1" applyFill="1" applyBorder="1" applyAlignment="1">
      <alignment horizontal="center" wrapText="1"/>
    </xf>
    <xf numFmtId="165" fontId="37" fillId="0" borderId="14" xfId="66" applyNumberFormat="1" applyFont="1" applyFill="1" applyBorder="1" applyAlignment="1">
      <alignment horizontal="center"/>
    </xf>
    <xf numFmtId="0" fontId="37" fillId="0" borderId="13" xfId="0" applyFont="1" applyBorder="1" applyAlignment="1">
      <alignment horizontal="center" wrapText="1"/>
    </xf>
    <xf numFmtId="0" fontId="0" fillId="0" borderId="13" xfId="0" applyBorder="1"/>
    <xf numFmtId="165" fontId="37" fillId="0" borderId="13" xfId="66" applyNumberFormat="1" applyFont="1" applyFill="1" applyBorder="1" applyAlignment="1">
      <alignment horizontal="left" wrapText="1"/>
    </xf>
    <xf numFmtId="3" fontId="39" fillId="0" borderId="13" xfId="66" applyNumberFormat="1" applyFont="1" applyFill="1" applyBorder="1" applyAlignment="1">
      <alignment horizontal="center" wrapText="1"/>
    </xf>
    <xf numFmtId="165" fontId="37" fillId="0" borderId="13" xfId="66" applyNumberFormat="1" applyFont="1" applyFill="1" applyBorder="1" applyAlignment="1">
      <alignment horizontal="center"/>
    </xf>
    <xf numFmtId="0" fontId="38" fillId="33" borderId="31" xfId="0" applyFont="1" applyFill="1" applyBorder="1" applyAlignment="1">
      <alignment horizontal="center" wrapText="1"/>
    </xf>
    <xf numFmtId="0" fontId="38" fillId="0" borderId="31" xfId="0" applyFont="1" applyBorder="1" applyAlignment="1">
      <alignment horizontal="center" wrapText="1"/>
    </xf>
    <xf numFmtId="165" fontId="37" fillId="0" borderId="31" xfId="66" applyNumberFormat="1" applyFont="1" applyFill="1" applyBorder="1" applyAlignment="1">
      <alignment horizontal="left" wrapText="1"/>
    </xf>
    <xf numFmtId="3" fontId="39" fillId="0" borderId="31" xfId="66" applyNumberFormat="1" applyFont="1" applyFill="1" applyBorder="1" applyAlignment="1">
      <alignment horizontal="center" wrapText="1"/>
    </xf>
    <xf numFmtId="165" fontId="37" fillId="0" borderId="31" xfId="66" applyNumberFormat="1" applyFont="1" applyFill="1" applyBorder="1" applyAlignment="1">
      <alignment wrapText="1"/>
    </xf>
    <xf numFmtId="0" fontId="43" fillId="0" borderId="1" xfId="0" applyFont="1" applyBorder="1"/>
    <xf numFmtId="3" fontId="39" fillId="0" borderId="32" xfId="66" applyNumberFormat="1" applyFont="1" applyFill="1" applyBorder="1" applyAlignment="1">
      <alignment horizontal="center" wrapText="1"/>
    </xf>
    <xf numFmtId="3" fontId="39" fillId="0" borderId="33" xfId="66" applyNumberFormat="1" applyFont="1" applyFill="1" applyBorder="1" applyAlignment="1">
      <alignment horizontal="center" wrapText="1"/>
    </xf>
    <xf numFmtId="165" fontId="62" fillId="0" borderId="1" xfId="66" applyNumberFormat="1" applyFont="1" applyFill="1" applyBorder="1" applyAlignment="1">
      <alignment horizontal="left" wrapText="1"/>
    </xf>
    <xf numFmtId="0" fontId="41" fillId="0" borderId="18" xfId="0" applyFont="1" applyBorder="1" applyAlignment="1">
      <alignment horizontal="center"/>
    </xf>
    <xf numFmtId="0" fontId="41" fillId="0" borderId="18" xfId="0" applyFont="1" applyBorder="1" applyAlignment="1">
      <alignment horizontal="left"/>
    </xf>
    <xf numFmtId="0" fontId="39" fillId="0" borderId="13" xfId="0" applyFont="1" applyBorder="1" applyAlignment="1">
      <alignment horizontal="center" wrapText="1"/>
    </xf>
    <xf numFmtId="165" fontId="37" fillId="0" borderId="13" xfId="66" applyNumberFormat="1" applyFont="1" applyFill="1" applyBorder="1" applyAlignment="1">
      <alignment wrapText="1"/>
    </xf>
    <xf numFmtId="3" fontId="39" fillId="0" borderId="2" xfId="0" applyNumberFormat="1" applyFont="1" applyBorder="1" applyAlignment="1">
      <alignment horizontal="center"/>
    </xf>
    <xf numFmtId="3" fontId="39" fillId="0" borderId="1" xfId="0" applyNumberFormat="1" applyFont="1" applyBorder="1" applyAlignment="1">
      <alignment horizontal="center"/>
    </xf>
    <xf numFmtId="0" fontId="39" fillId="0" borderId="18" xfId="0" applyFont="1" applyBorder="1" applyAlignment="1">
      <alignment wrapText="1"/>
    </xf>
    <xf numFmtId="3" fontId="39" fillId="0" borderId="18" xfId="0" applyNumberFormat="1" applyFont="1" applyBorder="1" applyAlignment="1">
      <alignment horizontal="center"/>
    </xf>
    <xf numFmtId="0" fontId="39" fillId="0" borderId="2" xfId="0" applyFont="1" applyBorder="1" applyAlignment="1">
      <alignment wrapText="1"/>
    </xf>
    <xf numFmtId="3" fontId="40" fillId="0" borderId="2" xfId="66" applyNumberFormat="1" applyFont="1" applyFill="1" applyBorder="1" applyAlignment="1">
      <alignment horizontal="center"/>
    </xf>
    <xf numFmtId="0" fontId="42" fillId="0" borderId="1" xfId="0" applyFont="1" applyBorder="1"/>
    <xf numFmtId="3" fontId="63" fillId="0" borderId="1" xfId="66" applyNumberFormat="1" applyFont="1" applyFill="1" applyBorder="1" applyAlignment="1">
      <alignment horizontal="center"/>
    </xf>
    <xf numFmtId="0" fontId="64" fillId="0" borderId="1" xfId="0" applyFont="1" applyBorder="1" applyAlignment="1">
      <alignment horizontal="center" wrapText="1"/>
    </xf>
    <xf numFmtId="165" fontId="37" fillId="0" borderId="18" xfId="0" applyNumberFormat="1" applyFont="1" applyBorder="1"/>
    <xf numFmtId="3" fontId="40" fillId="0" borderId="18" xfId="66" applyNumberFormat="1" applyFont="1" applyFill="1" applyBorder="1" applyAlignment="1">
      <alignment horizontal="center"/>
    </xf>
    <xf numFmtId="3" fontId="37" fillId="0" borderId="1" xfId="66" applyNumberFormat="1" applyFont="1" applyFill="1" applyBorder="1" applyAlignment="1">
      <alignment horizontal="center" wrapText="1"/>
    </xf>
    <xf numFmtId="3" fontId="41" fillId="0" borderId="1" xfId="66" applyNumberFormat="1" applyFont="1" applyFill="1" applyBorder="1" applyAlignment="1">
      <alignment horizontal="center" wrapText="1"/>
    </xf>
    <xf numFmtId="3" fontId="40" fillId="0" borderId="1" xfId="66" applyNumberFormat="1" applyFont="1" applyFill="1" applyBorder="1" applyAlignment="1">
      <alignment horizontal="center" wrapText="1"/>
    </xf>
    <xf numFmtId="3" fontId="40" fillId="0" borderId="18" xfId="66" applyNumberFormat="1" applyFont="1" applyFill="1" applyBorder="1" applyAlignment="1">
      <alignment horizontal="center" wrapText="1"/>
    </xf>
    <xf numFmtId="165" fontId="40" fillId="0" borderId="1" xfId="66" applyNumberFormat="1" applyFont="1" applyFill="1" applyBorder="1" applyAlignment="1">
      <alignment horizontal="left" wrapText="1"/>
    </xf>
    <xf numFmtId="0" fontId="39" fillId="0" borderId="1" xfId="0" applyFont="1" applyBorder="1" applyAlignment="1">
      <alignment wrapText="1"/>
    </xf>
    <xf numFmtId="0" fontId="45" fillId="0" borderId="1" xfId="0" applyFont="1" applyBorder="1" applyAlignment="1">
      <alignment horizontal="center"/>
    </xf>
    <xf numFmtId="0" fontId="41" fillId="0" borderId="1" xfId="0" applyFont="1" applyBorder="1" applyAlignment="1">
      <alignment horizontal="left"/>
    </xf>
    <xf numFmtId="165" fontId="39" fillId="0" borderId="1" xfId="66" applyNumberFormat="1" applyFont="1" applyFill="1" applyBorder="1"/>
    <xf numFmtId="37" fontId="37" fillId="0" borderId="1" xfId="66" applyNumberFormat="1" applyFont="1" applyFill="1" applyBorder="1"/>
    <xf numFmtId="3" fontId="9" fillId="0" borderId="1" xfId="6" applyNumberFormat="1" applyFill="1" applyBorder="1" applyAlignment="1">
      <alignment horizontal="left" wrapText="1"/>
    </xf>
    <xf numFmtId="3" fontId="9" fillId="0" borderId="1" xfId="6" applyNumberFormat="1" applyFill="1" applyBorder="1" applyAlignment="1">
      <alignment horizontal="left" vertical="center" wrapText="1"/>
    </xf>
    <xf numFmtId="49" fontId="9" fillId="0" borderId="0" xfId="6" applyNumberFormat="1" applyFill="1"/>
    <xf numFmtId="49" fontId="9" fillId="0" borderId="1" xfId="6" applyNumberFormat="1" applyFill="1" applyBorder="1"/>
    <xf numFmtId="49" fontId="43" fillId="0" borderId="15" xfId="0" applyNumberFormat="1" applyFont="1" applyBorder="1"/>
    <xf numFmtId="49" fontId="48" fillId="0" borderId="15" xfId="0" applyNumberFormat="1" applyFont="1" applyBorder="1"/>
    <xf numFmtId="0" fontId="9" fillId="0" borderId="18" xfId="6" applyFill="1" applyBorder="1" applyAlignment="1">
      <alignment horizontal="left" wrapText="1"/>
    </xf>
    <xf numFmtId="49" fontId="28" fillId="0" borderId="1" xfId="6" applyNumberFormat="1" applyFont="1" applyFill="1" applyBorder="1"/>
    <xf numFmtId="49" fontId="28" fillId="0" borderId="0" xfId="6" applyNumberFormat="1" applyFont="1" applyFill="1"/>
    <xf numFmtId="165" fontId="37" fillId="0" borderId="0" xfId="66" applyNumberFormat="1" applyFont="1" applyFill="1" applyBorder="1"/>
    <xf numFmtId="0" fontId="28" fillId="0" borderId="1" xfId="6" applyFont="1" applyFill="1" applyBorder="1"/>
    <xf numFmtId="0" fontId="41" fillId="37" borderId="1" xfId="0" applyFont="1" applyFill="1" applyBorder="1"/>
    <xf numFmtId="165" fontId="37" fillId="0" borderId="16" xfId="66" applyNumberFormat="1" applyFont="1" applyFill="1" applyBorder="1"/>
    <xf numFmtId="165" fontId="37" fillId="0" borderId="35" xfId="66" applyNumberFormat="1" applyFont="1" applyFill="1" applyBorder="1"/>
    <xf numFmtId="165" fontId="37" fillId="0" borderId="36" xfId="66" applyNumberFormat="1" applyFont="1" applyFill="1" applyBorder="1"/>
    <xf numFmtId="165" fontId="37" fillId="0" borderId="16" xfId="66" quotePrefix="1" applyNumberFormat="1" applyFont="1" applyFill="1" applyBorder="1"/>
    <xf numFmtId="165" fontId="38" fillId="0" borderId="16" xfId="66" applyNumberFormat="1" applyFont="1" applyFill="1" applyBorder="1"/>
    <xf numFmtId="165" fontId="37" fillId="0" borderId="36" xfId="66" quotePrefix="1" applyNumberFormat="1" applyFont="1" applyFill="1" applyBorder="1"/>
    <xf numFmtId="165" fontId="38" fillId="0" borderId="16" xfId="66" quotePrefix="1" applyNumberFormat="1" applyFont="1" applyFill="1" applyBorder="1"/>
    <xf numFmtId="0" fontId="41" fillId="0" borderId="16" xfId="0" applyFont="1" applyBorder="1"/>
    <xf numFmtId="0" fontId="41" fillId="0" borderId="35" xfId="0" applyFont="1" applyBorder="1"/>
    <xf numFmtId="0" fontId="41" fillId="0" borderId="36" xfId="0" applyFont="1" applyBorder="1"/>
    <xf numFmtId="0" fontId="37" fillId="37" borderId="27" xfId="0" applyFont="1" applyFill="1" applyBorder="1" applyAlignment="1">
      <alignment horizontal="center" vertical="center" wrapText="1"/>
    </xf>
    <xf numFmtId="0" fontId="37" fillId="0" borderId="27" xfId="0" applyFont="1" applyBorder="1"/>
    <xf numFmtId="0" fontId="41" fillId="37" borderId="27" xfId="0" applyFont="1" applyFill="1" applyBorder="1"/>
    <xf numFmtId="0" fontId="37" fillId="37" borderId="27" xfId="0" applyFont="1" applyFill="1" applyBorder="1"/>
    <xf numFmtId="0" fontId="41" fillId="0" borderId="34" xfId="0" applyFont="1" applyBorder="1"/>
    <xf numFmtId="0" fontId="41" fillId="37" borderId="37" xfId="0" applyFont="1" applyFill="1" applyBorder="1"/>
    <xf numFmtId="0" fontId="41" fillId="0" borderId="37" xfId="0" applyFont="1" applyBorder="1"/>
    <xf numFmtId="0" fontId="41" fillId="37" borderId="34" xfId="0" applyFont="1" applyFill="1" applyBorder="1"/>
    <xf numFmtId="0" fontId="41" fillId="0" borderId="27" xfId="0" applyFont="1" applyBorder="1"/>
    <xf numFmtId="0" fontId="29" fillId="35" borderId="16" xfId="0" applyFont="1" applyFill="1" applyBorder="1" applyAlignment="1">
      <alignment horizontal="center" vertical="center" wrapText="1"/>
    </xf>
    <xf numFmtId="0" fontId="27" fillId="0" borderId="16" xfId="0" applyFont="1" applyBorder="1" applyAlignment="1">
      <alignment wrapText="1"/>
    </xf>
    <xf numFmtId="0" fontId="1" fillId="33" borderId="13" xfId="0" applyFont="1" applyFill="1" applyBorder="1" applyAlignment="1">
      <alignment horizontal="center" vertical="center" wrapText="1"/>
    </xf>
    <xf numFmtId="3" fontId="2" fillId="0" borderId="0" xfId="0" applyNumberFormat="1" applyFont="1" applyAlignment="1">
      <alignment horizontal="center" vertical="center" wrapText="1"/>
    </xf>
    <xf numFmtId="3" fontId="26" fillId="0" borderId="1" xfId="0" applyNumberFormat="1" applyFont="1" applyBorder="1" applyAlignment="1">
      <alignment horizontal="center" vertical="center" wrapText="1"/>
    </xf>
    <xf numFmtId="0" fontId="24" fillId="0" borderId="21" xfId="67" applyBorder="1" applyAlignment="1">
      <alignment horizontal="left" vertical="center" wrapText="1"/>
    </xf>
    <xf numFmtId="3" fontId="26" fillId="0" borderId="0" xfId="0" applyNumberFormat="1" applyFont="1" applyAlignment="1">
      <alignment horizontal="center" vertical="center" wrapText="1"/>
    </xf>
    <xf numFmtId="4" fontId="2" fillId="0" borderId="16" xfId="0" applyNumberFormat="1" applyFont="1" applyBorder="1" applyAlignment="1">
      <alignment horizontal="center" vertical="center" wrapText="1"/>
    </xf>
    <xf numFmtId="0" fontId="2" fillId="39" borderId="16" xfId="0" applyFont="1" applyFill="1" applyBorder="1" applyAlignment="1">
      <alignment horizontal="center" vertical="center" wrapText="1"/>
    </xf>
    <xf numFmtId="2"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21"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6" fillId="0" borderId="16" xfId="0" applyNumberFormat="1" applyFont="1" applyBorder="1" applyAlignment="1">
      <alignment horizontal="center" vertical="center" wrapText="1"/>
    </xf>
    <xf numFmtId="0" fontId="53" fillId="0" borderId="1" xfId="0" applyFont="1" applyBorder="1" applyAlignment="1">
      <alignment vertical="center" wrapText="1"/>
    </xf>
    <xf numFmtId="0" fontId="45" fillId="0" borderId="2" xfId="0" applyFont="1" applyBorder="1" applyAlignment="1">
      <alignment horizontal="left" vertical="center" wrapText="1"/>
    </xf>
    <xf numFmtId="0" fontId="41" fillId="0" borderId="2" xfId="0" applyFont="1" applyBorder="1" applyAlignment="1">
      <alignment horizontal="left" wrapText="1"/>
    </xf>
    <xf numFmtId="0" fontId="3" fillId="0" borderId="1" xfId="0" applyFont="1" applyBorder="1" applyAlignment="1">
      <alignment horizontal="left" wrapText="1"/>
    </xf>
    <xf numFmtId="0" fontId="3" fillId="0" borderId="2" xfId="0" applyFont="1" applyBorder="1" applyAlignment="1">
      <alignment horizontal="left" wrapText="1"/>
    </xf>
    <xf numFmtId="0" fontId="42" fillId="0" borderId="31" xfId="0" applyFont="1" applyBorder="1"/>
    <xf numFmtId="0" fontId="45" fillId="0" borderId="2" xfId="0" applyFont="1" applyBorder="1" applyAlignment="1">
      <alignment wrapText="1"/>
    </xf>
    <xf numFmtId="0" fontId="42" fillId="0" borderId="2" xfId="0" applyFont="1" applyBorder="1"/>
    <xf numFmtId="0" fontId="45" fillId="0" borderId="2" xfId="0" applyFont="1" applyBorder="1" applyAlignment="1">
      <alignment horizontal="left" wrapText="1"/>
    </xf>
    <xf numFmtId="0" fontId="42" fillId="0" borderId="2" xfId="0" applyFont="1" applyBorder="1" applyAlignment="1">
      <alignment horizontal="left" wrapText="1"/>
    </xf>
    <xf numFmtId="0" fontId="38" fillId="0" borderId="2" xfId="0" applyFont="1" applyBorder="1" applyAlignment="1">
      <alignment horizontal="left"/>
    </xf>
    <xf numFmtId="0" fontId="38" fillId="0" borderId="33" xfId="0" applyFont="1" applyBorder="1" applyAlignment="1">
      <alignment horizontal="left" wrapText="1"/>
    </xf>
    <xf numFmtId="0" fontId="38" fillId="37" borderId="1" xfId="0" applyFont="1" applyFill="1" applyBorder="1" applyAlignment="1">
      <alignment horizontal="center" wrapText="1"/>
    </xf>
    <xf numFmtId="0" fontId="65" fillId="0" borderId="1" xfId="0" applyFont="1" applyBorder="1" applyAlignment="1">
      <alignment horizontal="center"/>
    </xf>
    <xf numFmtId="0" fontId="26" fillId="0" borderId="2" xfId="0" applyFont="1" applyBorder="1" applyAlignment="1">
      <alignment horizontal="left" vertical="top" wrapText="1"/>
    </xf>
    <xf numFmtId="0" fontId="26" fillId="0" borderId="2" xfId="0" applyFont="1" applyBorder="1" applyAlignment="1">
      <alignment horizontal="center" vertical="center" wrapText="1"/>
    </xf>
    <xf numFmtId="4" fontId="2" fillId="0" borderId="1" xfId="0" applyNumberFormat="1" applyFont="1" applyBorder="1" applyAlignment="1">
      <alignment horizontal="center" vertical="center" wrapText="1"/>
    </xf>
    <xf numFmtId="0" fontId="38" fillId="0" borderId="14" xfId="0" applyFont="1" applyBorder="1" applyAlignment="1">
      <alignment horizontal="center" wrapText="1"/>
    </xf>
    <xf numFmtId="165" fontId="37" fillId="0" borderId="3" xfId="66" applyNumberFormat="1" applyFont="1" applyFill="1" applyBorder="1"/>
    <xf numFmtId="0" fontId="41" fillId="0" borderId="38" xfId="0" applyFont="1" applyBorder="1"/>
    <xf numFmtId="165" fontId="37" fillId="0" borderId="14" xfId="66" applyNumberFormat="1" applyFont="1" applyFill="1" applyBorder="1" applyAlignment="1">
      <alignment wrapText="1"/>
    </xf>
    <xf numFmtId="49" fontId="43" fillId="0" borderId="21" xfId="0" applyNumberFormat="1" applyFont="1" applyBorder="1"/>
    <xf numFmtId="0" fontId="38" fillId="0" borderId="36" xfId="0" applyFont="1" applyBorder="1" applyAlignment="1">
      <alignment horizontal="center" wrapText="1"/>
    </xf>
    <xf numFmtId="0" fontId="60" fillId="0" borderId="2" xfId="0" applyFont="1" applyBorder="1"/>
    <xf numFmtId="49" fontId="28" fillId="0" borderId="16" xfId="6" applyNumberFormat="1" applyFont="1" applyFill="1" applyBorder="1"/>
    <xf numFmtId="49" fontId="0" fillId="0" borderId="21" xfId="0" applyNumberFormat="1" applyBorder="1"/>
    <xf numFmtId="0" fontId="39" fillId="0" borderId="22" xfId="0" applyFont="1" applyBorder="1" applyAlignment="1">
      <alignment horizontal="left" wrapText="1"/>
    </xf>
    <xf numFmtId="0" fontId="45" fillId="0" borderId="14" xfId="0" applyFont="1" applyBorder="1" applyAlignment="1">
      <alignment horizontal="left"/>
    </xf>
    <xf numFmtId="0" fontId="39" fillId="0" borderId="30" xfId="0" applyFont="1" applyBorder="1" applyAlignment="1">
      <alignment horizontal="left" wrapText="1"/>
    </xf>
    <xf numFmtId="0" fontId="10" fillId="0" borderId="1" xfId="7" applyFill="1" applyBorder="1"/>
    <xf numFmtId="0" fontId="41" fillId="0" borderId="15" xfId="0" applyFont="1" applyBorder="1" applyAlignment="1">
      <alignment vertical="top"/>
    </xf>
    <xf numFmtId="0" fontId="36" fillId="0" borderId="1" xfId="67" applyFont="1" applyBorder="1" applyAlignment="1">
      <alignment horizontal="left" vertical="center" wrapText="1"/>
    </xf>
    <xf numFmtId="0" fontId="66" fillId="0" borderId="1" xfId="0" applyFont="1" applyBorder="1" applyAlignment="1">
      <alignment vertical="center" wrapText="1"/>
    </xf>
    <xf numFmtId="0" fontId="67" fillId="0" borderId="0" xfId="0" applyFont="1" applyAlignment="1">
      <alignment horizontal="center" wrapText="1"/>
    </xf>
    <xf numFmtId="49" fontId="29" fillId="0" borderId="1" xfId="0" applyNumberFormat="1" applyFont="1" applyBorder="1" applyAlignment="1">
      <alignment vertical="center"/>
    </xf>
    <xf numFmtId="43" fontId="29" fillId="0" borderId="16" xfId="66" applyFont="1" applyFill="1" applyBorder="1" applyAlignment="1">
      <alignment horizontal="center" vertical="center"/>
    </xf>
    <xf numFmtId="0" fontId="26" fillId="0" borderId="16" xfId="0" applyFont="1" applyBorder="1" applyAlignment="1">
      <alignment wrapText="1"/>
    </xf>
    <xf numFmtId="0" fontId="24" fillId="0" borderId="15" xfId="67" applyBorder="1" applyAlignment="1">
      <alignment horizontal="left" vertical="center"/>
    </xf>
    <xf numFmtId="0" fontId="24" fillId="0" borderId="0" xfId="67" applyFill="1"/>
    <xf numFmtId="0" fontId="24" fillId="0" borderId="0" xfId="67" applyFill="1" applyAlignment="1">
      <alignment horizontal="left" vertical="center"/>
    </xf>
    <xf numFmtId="3" fontId="2" fillId="40" borderId="1" xfId="0" applyNumberFormat="1" applyFont="1" applyFill="1" applyBorder="1" applyAlignment="1">
      <alignment horizontal="center" vertical="center" wrapText="1"/>
    </xf>
    <xf numFmtId="0" fontId="46" fillId="33" borderId="0" xfId="0" applyFont="1" applyFill="1"/>
    <xf numFmtId="0" fontId="24" fillId="33" borderId="0" xfId="67" applyFill="1"/>
    <xf numFmtId="164" fontId="49" fillId="33" borderId="0" xfId="0" applyNumberFormat="1" applyFont="1" applyFill="1" applyAlignment="1">
      <alignment horizontal="center"/>
    </xf>
    <xf numFmtId="164" fontId="46" fillId="33" borderId="0" xfId="0" applyNumberFormat="1" applyFont="1" applyFill="1" applyAlignment="1">
      <alignment horizontal="center"/>
    </xf>
    <xf numFmtId="3" fontId="46" fillId="33" borderId="0" xfId="0" applyNumberFormat="1" applyFont="1" applyFill="1" applyAlignment="1">
      <alignment horizontal="center"/>
    </xf>
    <xf numFmtId="0" fontId="24" fillId="33" borderId="0" xfId="67" applyFill="1" applyAlignment="1">
      <alignment vertical="center"/>
    </xf>
    <xf numFmtId="0" fontId="49" fillId="33" borderId="0" xfId="0" applyFont="1" applyFill="1"/>
    <xf numFmtId="3" fontId="49" fillId="33" borderId="0" xfId="0" applyNumberFormat="1" applyFont="1" applyFill="1" applyAlignment="1">
      <alignment horizontal="center"/>
    </xf>
    <xf numFmtId="0" fontId="49" fillId="33" borderId="0" xfId="0" applyFont="1" applyFill="1" applyAlignment="1">
      <alignment horizontal="left" vertical="center"/>
    </xf>
    <xf numFmtId="0" fontId="55" fillId="33" borderId="0" xfId="67" applyFont="1" applyFill="1" applyAlignment="1">
      <alignment horizontal="left" vertical="center"/>
    </xf>
    <xf numFmtId="164" fontId="49" fillId="33" borderId="0" xfId="0" applyNumberFormat="1" applyFont="1" applyFill="1" applyAlignment="1">
      <alignment horizontal="center" vertical="center"/>
    </xf>
    <xf numFmtId="0" fontId="55" fillId="33" borderId="0" xfId="67" applyFont="1" applyFill="1" applyAlignment="1">
      <alignment horizontal="left"/>
    </xf>
    <xf numFmtId="0" fontId="0" fillId="33" borderId="0" xfId="0" applyFill="1" applyAlignment="1">
      <alignment horizontal="center" vertical="center"/>
    </xf>
    <xf numFmtId="3" fontId="46" fillId="0" borderId="0" xfId="0" applyNumberFormat="1" applyFont="1" applyAlignment="1">
      <alignment horizontal="center"/>
    </xf>
    <xf numFmtId="0" fontId="46" fillId="0" borderId="1" xfId="0" applyFont="1" applyBorder="1" applyAlignment="1">
      <alignment horizontal="left" vertical="center" wrapText="1"/>
    </xf>
    <xf numFmtId="0" fontId="49" fillId="0" borderId="0" xfId="0" applyFont="1" applyAlignment="1">
      <alignment vertical="center"/>
    </xf>
    <xf numFmtId="0" fontId="46" fillId="0" borderId="0" xfId="0" applyFont="1" applyAlignment="1">
      <alignment vertical="center"/>
    </xf>
    <xf numFmtId="164" fontId="46" fillId="0" borderId="0" xfId="0" applyNumberFormat="1" applyFont="1" applyAlignment="1">
      <alignment horizontal="center" vertical="center"/>
    </xf>
    <xf numFmtId="3" fontId="46" fillId="0" borderId="0" xfId="0" applyNumberFormat="1" applyFont="1" applyAlignment="1">
      <alignment horizontal="center" vertical="center"/>
    </xf>
    <xf numFmtId="0" fontId="46" fillId="0" borderId="0" xfId="0" applyFont="1" applyAlignment="1">
      <alignment wrapText="1"/>
    </xf>
    <xf numFmtId="0" fontId="49" fillId="0" borderId="0" xfId="0" applyFont="1" applyAlignment="1">
      <alignment horizontal="left"/>
    </xf>
    <xf numFmtId="0" fontId="46" fillId="0" borderId="0" xfId="0" applyFont="1" applyAlignment="1">
      <alignment horizontal="left" vertical="center"/>
    </xf>
    <xf numFmtId="0" fontId="0" fillId="0" borderId="0" xfId="0" applyAlignment="1">
      <alignment horizontal="left"/>
    </xf>
    <xf numFmtId="0" fontId="0" fillId="0" borderId="0" xfId="0" applyAlignment="1">
      <alignment horizontal="center"/>
    </xf>
    <xf numFmtId="4" fontId="2" fillId="0" borderId="17" xfId="0" applyNumberFormat="1" applyFont="1" applyBorder="1" applyAlignment="1">
      <alignment wrapText="1"/>
    </xf>
    <xf numFmtId="0" fontId="51" fillId="0" borderId="0" xfId="0" applyFont="1"/>
    <xf numFmtId="0" fontId="24" fillId="0" borderId="0" xfId="67" applyAlignment="1">
      <alignment horizontal="left" vertical="center"/>
    </xf>
    <xf numFmtId="0" fontId="24" fillId="0" borderId="2" xfId="67" applyBorder="1"/>
    <xf numFmtId="0" fontId="42" fillId="0" borderId="2" xfId="0" applyFont="1" applyBorder="1"/>
    <xf numFmtId="0" fontId="37" fillId="0" borderId="1" xfId="0" applyFont="1" applyBorder="1" applyAlignment="1">
      <alignment horizontal="center" wrapText="1"/>
    </xf>
    <xf numFmtId="0" fontId="38" fillId="0" borderId="2" xfId="0" applyFont="1" applyBorder="1" applyAlignment="1">
      <alignment horizontal="left" wrapText="1"/>
    </xf>
    <xf numFmtId="0" fontId="39" fillId="0" borderId="2" xfId="0" applyFont="1" applyBorder="1" applyAlignment="1">
      <alignment horizontal="left" wrapText="1"/>
    </xf>
    <xf numFmtId="0" fontId="38" fillId="0" borderId="28" xfId="0" applyFont="1" applyBorder="1" applyAlignment="1">
      <alignment horizontal="left" wrapText="1"/>
    </xf>
    <xf numFmtId="0" fontId="38" fillId="0" borderId="29" xfId="0" applyFont="1" applyBorder="1" applyAlignment="1">
      <alignment horizontal="left" wrapText="1"/>
    </xf>
    <xf numFmtId="0" fontId="42" fillId="0" borderId="2" xfId="0" applyFont="1" applyBorder="1" applyAlignment="1">
      <alignment horizontal="left" wrapText="1"/>
    </xf>
    <xf numFmtId="0" fontId="38" fillId="0" borderId="14" xfId="0" applyFont="1" applyBorder="1" applyAlignment="1">
      <alignment horizontal="left"/>
    </xf>
    <xf numFmtId="0" fontId="45" fillId="0" borderId="14" xfId="0" applyFont="1" applyBorder="1" applyAlignment="1">
      <alignment horizontal="left" wrapText="1"/>
    </xf>
    <xf numFmtId="0" fontId="3" fillId="0" borderId="2" xfId="0" applyFont="1" applyBorder="1" applyAlignment="1">
      <alignment horizontal="left" wrapText="1"/>
    </xf>
    <xf numFmtId="0" fontId="45" fillId="0" borderId="2" xfId="0" applyFont="1" applyBorder="1" applyAlignment="1">
      <alignment horizontal="left" wrapText="1"/>
    </xf>
    <xf numFmtId="0" fontId="28" fillId="0" borderId="2" xfId="67" applyFont="1" applyBorder="1"/>
    <xf numFmtId="0" fontId="60" fillId="0" borderId="2" xfId="0" applyFont="1" applyBorder="1"/>
    <xf numFmtId="0" fontId="38" fillId="0" borderId="36" xfId="0" applyFont="1" applyBorder="1" applyAlignment="1">
      <alignment horizontal="left" wrapText="1"/>
    </xf>
    <xf numFmtId="0" fontId="38" fillId="0" borderId="33" xfId="0" applyFont="1" applyBorder="1" applyAlignment="1">
      <alignment horizontal="left" wrapText="1"/>
    </xf>
    <xf numFmtId="0" fontId="38" fillId="0" borderId="1" xfId="0" applyFont="1" applyBorder="1" applyAlignment="1">
      <alignment horizontal="left" wrapText="1"/>
    </xf>
    <xf numFmtId="0" fontId="3" fillId="0" borderId="1" xfId="0" applyFont="1" applyBorder="1" applyAlignment="1">
      <alignment horizontal="left" wrapText="1"/>
    </xf>
    <xf numFmtId="0" fontId="42" fillId="0" borderId="31" xfId="0" applyFont="1" applyBorder="1"/>
    <xf numFmtId="0" fontId="38" fillId="0" borderId="2" xfId="0" applyFont="1" applyBorder="1" applyAlignment="1">
      <alignment wrapText="1"/>
    </xf>
    <xf numFmtId="0" fontId="45" fillId="0" borderId="2" xfId="0" applyFont="1" applyBorder="1" applyAlignment="1">
      <alignment wrapText="1"/>
    </xf>
    <xf numFmtId="0" fontId="45" fillId="0" borderId="2" xfId="0" applyFont="1" applyBorder="1" applyAlignment="1">
      <alignment horizontal="left" vertical="center" wrapText="1"/>
    </xf>
    <xf numFmtId="0" fontId="41" fillId="0" borderId="2" xfId="0" applyFont="1" applyBorder="1" applyAlignment="1">
      <alignment horizontal="left" wrapText="1"/>
    </xf>
    <xf numFmtId="0" fontId="49" fillId="0" borderId="0" xfId="0" applyFont="1" applyAlignment="1">
      <alignment horizontal="left" vertical="top" wrapText="1"/>
    </xf>
    <xf numFmtId="0" fontId="28" fillId="0" borderId="0" xfId="0" applyFont="1"/>
    <xf numFmtId="0" fontId="27" fillId="0" borderId="21" xfId="0" applyFont="1" applyBorder="1" applyAlignment="1">
      <alignment horizontal="center" vertical="center"/>
    </xf>
  </cellXfs>
  <cellStyles count="7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66" builtinId="3"/>
    <cellStyle name="Comma 2" xfId="50" xr:uid="{00000000-0005-0000-0000-00001C000000}"/>
    <cellStyle name="Comma 2 2" xfId="63" xr:uid="{00000000-0005-0000-0000-00001D000000}"/>
    <cellStyle name="Comma 3" xfId="49" xr:uid="{00000000-0005-0000-0000-00001E000000}"/>
    <cellStyle name="Comma 3 2" xfId="52" xr:uid="{00000000-0005-0000-0000-00001F000000}"/>
    <cellStyle name="Comma 4" xfId="53" xr:uid="{00000000-0005-0000-0000-000020000000}"/>
    <cellStyle name="Comma 4 2" xfId="55" xr:uid="{00000000-0005-0000-0000-000021000000}"/>
    <cellStyle name="Comma 4 3" xfId="70" xr:uid="{5E37E0A7-9794-4CC0-92C7-17F229ECF977}"/>
    <cellStyle name="Comma 5" xfId="59" xr:uid="{00000000-0005-0000-0000-000022000000}"/>
    <cellStyle name="Comma 5 2" xfId="69" xr:uid="{B827FF6D-565F-43EF-BA15-10F873930D9B}"/>
    <cellStyle name="Currency" xfId="62" xr:uid="{00000000-0005-0000-0000-000023000000}"/>
    <cellStyle name="Currency 2" xfId="61" xr:uid="{00000000-0005-0000-0000-000024000000}"/>
    <cellStyle name="Currency 3" xfId="64" xr:uid="{00000000-0005-0000-0000-000025000000}"/>
    <cellStyle name="Currency 4" xfId="71" xr:uid="{DAF652FF-22D7-4CF8-A2C1-D2FEC57642AE}"/>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67" builtinId="8"/>
    <cellStyle name="Hyperlink 2" xfId="58" xr:uid="{00000000-0005-0000-0000-00002C000000}"/>
    <cellStyle name="Hyperlink 2 2" xfId="65" xr:uid="{00000000-0005-0000-0000-00002D000000}"/>
    <cellStyle name="Hyperlink 3" xfId="57" xr:uid="{00000000-0005-0000-0000-00002E000000}"/>
    <cellStyle name="Input" xfId="9" builtinId="20" customBuiltin="1"/>
    <cellStyle name="Linked Cell" xfId="12" builtinId="24" customBuiltin="1"/>
    <cellStyle name="Neutral" xfId="8" builtinId="28" customBuiltin="1"/>
    <cellStyle name="Normal" xfId="0" builtinId="0"/>
    <cellStyle name="Normal 2" xfId="43" xr:uid="{00000000-0005-0000-0000-000033000000}"/>
    <cellStyle name="Normal 2 2" xfId="46" xr:uid="{00000000-0005-0000-0000-000034000000}"/>
    <cellStyle name="Normal 3" xfId="44" xr:uid="{00000000-0005-0000-0000-000035000000}"/>
    <cellStyle name="Normal 3 2" xfId="47" xr:uid="{00000000-0005-0000-0000-000036000000}"/>
    <cellStyle name="Normal 4" xfId="45" xr:uid="{00000000-0005-0000-0000-000037000000}"/>
    <cellStyle name="Normal 4 2" xfId="72" xr:uid="{783E467A-30D4-4F26-9FD6-27415FE43998}"/>
    <cellStyle name="Normal 5" xfId="42" xr:uid="{00000000-0005-0000-0000-000038000000}"/>
    <cellStyle name="Normal 5 2" xfId="68" xr:uid="{98317743-5D03-4C86-ADE1-E81F348B5CE6}"/>
    <cellStyle name="Normal 6" xfId="48" xr:uid="{00000000-0005-0000-0000-000039000000}"/>
    <cellStyle name="Normal 6 2" xfId="51" xr:uid="{00000000-0005-0000-0000-00003A000000}"/>
    <cellStyle name="Normal 7" xfId="54" xr:uid="{00000000-0005-0000-0000-00003B000000}"/>
    <cellStyle name="Normal 7 2" xfId="56" xr:uid="{00000000-0005-0000-0000-00003C000000}"/>
    <cellStyle name="Normal 8" xfId="60" xr:uid="{00000000-0005-0000-0000-00003D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strike val="0"/>
      </font>
      <fill>
        <patternFill patternType="none">
          <bgColor auto="1"/>
        </patternFill>
      </fill>
    </dxf>
  </dxfs>
  <tableStyles count="1" defaultTableStyle="TableStyleMedium2" defaultPivotStyle="PivotStyleLight16">
    <tableStyle name="Table Style 1" pivot="0" count="1" xr9:uid="{00000000-0011-0000-FFFF-FFFF00000000}">
      <tableStyleElement type="wholeTable" dxfId="0"/>
    </tableStyle>
  </tableStyles>
  <colors>
    <mruColors>
      <color rgb="FFCCFFCC"/>
      <color rgb="FF99FF66"/>
      <color rgb="FF66FFFF"/>
      <color rgb="FFFAB6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2500%20/%20NEED%20/%20UP%20OR%20NORTHERN%20MI%20OR%20RURAL" TargetMode="External"/><Relationship Id="rId2" Type="http://schemas.openxmlformats.org/officeDocument/2006/relationships/hyperlink" Target="mailto:1@1500%20/%20UNCOMITTED%20%20JUNIOR%20/%20%3E3.5" TargetMode="External"/><Relationship Id="rId1" Type="http://schemas.openxmlformats.org/officeDocument/2006/relationships/hyperlink" Target="mailto:1@1500"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mailto:skrucki@bdo.com" TargetMode="External"/><Relationship Id="rId7" Type="http://schemas.openxmlformats.org/officeDocument/2006/relationships/hyperlink" Target="mailto:lisacarroll@kpmg.com" TargetMode="External"/><Relationship Id="rId2" Type="http://schemas.openxmlformats.org/officeDocument/2006/relationships/hyperlink" Target="mailto:mhorback1@gmail.com" TargetMode="External"/><Relationship Id="rId1" Type="http://schemas.openxmlformats.org/officeDocument/2006/relationships/hyperlink" Target="mailto:daniel-collins@uiowa.edu" TargetMode="External"/><Relationship Id="rId6" Type="http://schemas.openxmlformats.org/officeDocument/2006/relationships/hyperlink" Target="mailto:lbarkman@deloitte.com" TargetMode="External"/><Relationship Id="rId5" Type="http://schemas.openxmlformats.org/officeDocument/2006/relationships/hyperlink" Target="mailto:maggie.floyd@rehmann.com" TargetMode="External"/><Relationship Id="rId10" Type="http://schemas.openxmlformats.org/officeDocument/2006/relationships/comments" Target="../comments2.xml"/><Relationship Id="rId4" Type="http://schemas.openxmlformats.org/officeDocument/2006/relationships/hyperlink" Target="mailto:MStepek@doeren.com" TargetMode="Externa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mailto:Mstepek@doeren.com" TargetMode="External"/><Relationship Id="rId7" Type="http://schemas.openxmlformats.org/officeDocument/2006/relationships/hyperlink" Target="mailto:al.hatch@plantemoran.com" TargetMode="External"/><Relationship Id="rId2" Type="http://schemas.openxmlformats.org/officeDocument/2006/relationships/hyperlink" Target="mailto:maggie.floyd@rehmann.com" TargetMode="External"/><Relationship Id="rId1" Type="http://schemas.openxmlformats.org/officeDocument/2006/relationships/hyperlink" Target="mailto:skrucki@bdo.com" TargetMode="External"/><Relationship Id="rId6" Type="http://schemas.openxmlformats.org/officeDocument/2006/relationships/hyperlink" Target="mailto:Tracy.Himmelspach@crowe.com" TargetMode="External"/><Relationship Id="rId5" Type="http://schemas.openxmlformats.org/officeDocument/2006/relationships/hyperlink" Target="mailto:Nicole.collins@pwc.com" TargetMode="External"/><Relationship Id="rId10" Type="http://schemas.openxmlformats.org/officeDocument/2006/relationships/comments" Target="../comments3.xml"/><Relationship Id="rId4" Type="http://schemas.openxmlformats.org/officeDocument/2006/relationships/hyperlink" Target="mailto:Paloma.Barba@us.gt.com" TargetMode="External"/><Relationship Id="rId9"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zoomScale="120" zoomScaleNormal="120" workbookViewId="0">
      <pane ySplit="2" topLeftCell="A31" activePane="bottomLeft" state="frozen"/>
      <selection pane="bottomLeft" activeCell="B33" sqref="B33"/>
    </sheetView>
  </sheetViews>
  <sheetFormatPr defaultColWidth="8.81640625" defaultRowHeight="14.5" x14ac:dyDescent="0.35"/>
  <cols>
    <col min="1" max="1" width="18.54296875" style="4" customWidth="1"/>
    <col min="2" max="2" width="24.453125" style="2" customWidth="1"/>
    <col min="3" max="3" width="9.1796875" style="4" customWidth="1"/>
    <col min="4" max="4" width="11.54296875" style="1" customWidth="1"/>
    <col min="5" max="5" width="39.81640625" style="44" customWidth="1"/>
    <col min="6" max="6" width="19.81640625" style="102" customWidth="1"/>
    <col min="7" max="7" width="20.453125" style="1" customWidth="1"/>
    <col min="8" max="8" width="16.1796875" style="1" hidden="1" customWidth="1"/>
    <col min="9" max="9" width="16.1796875" style="1" customWidth="1"/>
    <col min="10" max="10" width="23" customWidth="1"/>
    <col min="11" max="11" width="23.1796875" style="1" customWidth="1"/>
    <col min="12" max="16384" width="8.81640625" style="1"/>
  </cols>
  <sheetData>
    <row r="1" spans="1:10" ht="16.5" x14ac:dyDescent="0.35">
      <c r="A1" s="80" t="s">
        <v>265</v>
      </c>
      <c r="B1" s="81" t="s">
        <v>266</v>
      </c>
      <c r="D1" s="31"/>
      <c r="E1" s="438" t="s">
        <v>574</v>
      </c>
      <c r="F1" s="4"/>
      <c r="G1" s="3"/>
      <c r="H1" s="3"/>
      <c r="I1" s="3"/>
      <c r="J1" s="4"/>
    </row>
    <row r="2" spans="1:10" s="6" customFormat="1" ht="34.5" x14ac:dyDescent="0.35">
      <c r="A2" s="32" t="s">
        <v>51</v>
      </c>
      <c r="B2" s="32" t="s">
        <v>56</v>
      </c>
      <c r="C2" s="32" t="s">
        <v>52</v>
      </c>
      <c r="D2" s="32" t="s">
        <v>53</v>
      </c>
      <c r="E2" s="38"/>
      <c r="F2" s="93" t="s">
        <v>286</v>
      </c>
      <c r="G2" s="138" t="s">
        <v>557</v>
      </c>
      <c r="H2" s="13" t="s">
        <v>113</v>
      </c>
      <c r="I2" s="393" t="s">
        <v>558</v>
      </c>
      <c r="J2" s="65" t="s">
        <v>160</v>
      </c>
    </row>
    <row r="3" spans="1:10" s="4" customFormat="1" ht="34.5" x14ac:dyDescent="0.35">
      <c r="A3" s="82" t="s">
        <v>150</v>
      </c>
      <c r="B3" s="8" t="s">
        <v>248</v>
      </c>
      <c r="C3" s="11" t="s">
        <v>249</v>
      </c>
      <c r="D3" s="11" t="s">
        <v>208</v>
      </c>
      <c r="E3" s="39"/>
      <c r="F3" s="94" t="s">
        <v>420</v>
      </c>
      <c r="G3" s="140">
        <v>0</v>
      </c>
      <c r="H3" s="11"/>
      <c r="I3" s="398">
        <v>0</v>
      </c>
      <c r="J3" s="55" t="s">
        <v>460</v>
      </c>
    </row>
    <row r="4" spans="1:10" s="4" customFormat="1" ht="34.5" x14ac:dyDescent="0.35">
      <c r="A4" s="86" t="s">
        <v>96</v>
      </c>
      <c r="B4" s="34" t="s">
        <v>187</v>
      </c>
      <c r="C4" s="33" t="s">
        <v>97</v>
      </c>
      <c r="D4" s="11" t="s">
        <v>208</v>
      </c>
      <c r="E4" s="52" t="s">
        <v>197</v>
      </c>
      <c r="F4" s="95"/>
      <c r="G4" s="140">
        <v>2400</v>
      </c>
      <c r="H4" s="139"/>
      <c r="I4" s="401">
        <v>3250</v>
      </c>
      <c r="J4" s="66"/>
    </row>
    <row r="5" spans="1:10" ht="67.400000000000006" customHeight="1" x14ac:dyDescent="0.25">
      <c r="A5" s="82" t="s">
        <v>57</v>
      </c>
      <c r="B5" s="8" t="s">
        <v>569</v>
      </c>
      <c r="C5" s="11" t="s">
        <v>250</v>
      </c>
      <c r="D5" s="11" t="s">
        <v>208</v>
      </c>
      <c r="E5" s="39" t="s">
        <v>575</v>
      </c>
      <c r="F5" s="94"/>
      <c r="G5" s="201">
        <v>20000</v>
      </c>
      <c r="I5" s="394">
        <v>20000</v>
      </c>
      <c r="J5" s="71" t="s">
        <v>526</v>
      </c>
    </row>
    <row r="6" spans="1:10" ht="44.9" customHeight="1" x14ac:dyDescent="0.25">
      <c r="A6" s="87" t="s">
        <v>59</v>
      </c>
      <c r="B6" s="22" t="s">
        <v>585</v>
      </c>
      <c r="C6" s="11" t="s">
        <v>155</v>
      </c>
      <c r="D6" s="11" t="s">
        <v>208</v>
      </c>
      <c r="E6" s="40" t="s">
        <v>198</v>
      </c>
      <c r="F6" s="96"/>
      <c r="G6" s="140">
        <v>5004</v>
      </c>
      <c r="H6" s="49"/>
      <c r="I6" s="402">
        <v>5858</v>
      </c>
      <c r="J6" s="66"/>
    </row>
    <row r="7" spans="1:10" ht="44.9" customHeight="1" x14ac:dyDescent="0.25">
      <c r="A7" s="83" t="s">
        <v>175</v>
      </c>
      <c r="B7" s="22" t="s">
        <v>176</v>
      </c>
      <c r="C7" s="11" t="s">
        <v>259</v>
      </c>
      <c r="D7" s="11" t="s">
        <v>208</v>
      </c>
      <c r="E7" s="41" t="s">
        <v>188</v>
      </c>
      <c r="F7" s="96" t="s">
        <v>383</v>
      </c>
      <c r="G7" s="141">
        <v>0</v>
      </c>
      <c r="H7" s="9"/>
      <c r="I7" s="399">
        <v>0</v>
      </c>
      <c r="J7" s="66"/>
    </row>
    <row r="8" spans="1:10" ht="47.15" customHeight="1" x14ac:dyDescent="0.25">
      <c r="A8" s="85" t="s">
        <v>58</v>
      </c>
      <c r="B8" s="8" t="s">
        <v>0</v>
      </c>
      <c r="C8" s="4" t="s">
        <v>154</v>
      </c>
      <c r="D8" s="11" t="s">
        <v>208</v>
      </c>
      <c r="E8" s="52" t="s">
        <v>189</v>
      </c>
      <c r="F8" s="95"/>
      <c r="G8" s="141">
        <v>29677</v>
      </c>
      <c r="H8" s="9"/>
      <c r="I8" s="403">
        <v>34687</v>
      </c>
      <c r="J8" s="66"/>
    </row>
    <row r="9" spans="1:10" ht="100.4" customHeight="1" x14ac:dyDescent="0.35">
      <c r="A9" s="85" t="s">
        <v>60</v>
      </c>
      <c r="B9" s="8" t="s">
        <v>1</v>
      </c>
      <c r="C9" s="11" t="s">
        <v>23</v>
      </c>
      <c r="D9" s="11" t="s">
        <v>208</v>
      </c>
      <c r="E9" s="42" t="s">
        <v>190</v>
      </c>
      <c r="F9" s="94"/>
      <c r="G9" s="140">
        <v>71000</v>
      </c>
      <c r="H9" s="9"/>
      <c r="I9" s="403">
        <v>83000</v>
      </c>
      <c r="J9" s="67"/>
    </row>
    <row r="10" spans="1:10" ht="50.9" customHeight="1" x14ac:dyDescent="0.25">
      <c r="A10" s="85" t="s">
        <v>61</v>
      </c>
      <c r="B10" s="8" t="s">
        <v>2</v>
      </c>
      <c r="C10" s="11" t="s">
        <v>24</v>
      </c>
      <c r="D10" s="13" t="s">
        <v>191</v>
      </c>
      <c r="E10" s="41" t="s">
        <v>193</v>
      </c>
      <c r="F10" s="94"/>
      <c r="G10" s="140">
        <v>8700</v>
      </c>
      <c r="H10" s="11"/>
      <c r="I10" s="403">
        <v>10250</v>
      </c>
      <c r="J10" s="66" t="s">
        <v>169</v>
      </c>
    </row>
    <row r="11" spans="1:10" ht="59.9" customHeight="1" x14ac:dyDescent="0.35">
      <c r="A11" s="85" t="s">
        <v>79</v>
      </c>
      <c r="B11" s="8" t="s">
        <v>48</v>
      </c>
      <c r="C11" s="11" t="s">
        <v>37</v>
      </c>
      <c r="D11" s="13" t="s">
        <v>191</v>
      </c>
      <c r="E11" s="41" t="s">
        <v>192</v>
      </c>
      <c r="F11" s="94"/>
      <c r="G11" s="140">
        <v>3780</v>
      </c>
      <c r="H11" s="11"/>
      <c r="I11" s="403">
        <v>4500</v>
      </c>
      <c r="J11" s="67"/>
    </row>
    <row r="12" spans="1:10" ht="75.650000000000006" customHeight="1" x14ac:dyDescent="0.35">
      <c r="A12" s="85" t="s">
        <v>107</v>
      </c>
      <c r="B12" s="8" t="s">
        <v>108</v>
      </c>
      <c r="C12" s="11" t="s">
        <v>109</v>
      </c>
      <c r="D12" s="13" t="s">
        <v>191</v>
      </c>
      <c r="E12" s="41" t="s">
        <v>194</v>
      </c>
      <c r="F12" s="94"/>
      <c r="G12" s="140">
        <v>7280</v>
      </c>
      <c r="H12" s="11"/>
      <c r="I12" s="403">
        <v>9000</v>
      </c>
      <c r="J12" s="67"/>
    </row>
    <row r="13" spans="1:10" ht="82.5" customHeight="1" x14ac:dyDescent="0.25">
      <c r="A13" s="82" t="s">
        <v>140</v>
      </c>
      <c r="B13" s="8" t="s">
        <v>572</v>
      </c>
      <c r="C13" s="11" t="s">
        <v>251</v>
      </c>
      <c r="D13" s="11" t="s">
        <v>208</v>
      </c>
      <c r="E13" s="41" t="s">
        <v>401</v>
      </c>
      <c r="F13" s="94"/>
      <c r="G13" s="142">
        <v>0</v>
      </c>
      <c r="H13" s="11"/>
      <c r="I13" s="403">
        <v>1500</v>
      </c>
      <c r="J13" s="183" t="s">
        <v>576</v>
      </c>
    </row>
    <row r="14" spans="1:10" ht="79.5" customHeight="1" x14ac:dyDescent="0.25">
      <c r="A14" s="85" t="s">
        <v>83</v>
      </c>
      <c r="B14" s="136" t="s">
        <v>44</v>
      </c>
      <c r="C14" s="132" t="s">
        <v>43</v>
      </c>
      <c r="D14" s="137" t="s">
        <v>200</v>
      </c>
      <c r="E14" s="135" t="s">
        <v>91</v>
      </c>
      <c r="F14" s="128"/>
      <c r="G14" s="140">
        <v>7500</v>
      </c>
      <c r="H14" s="133" t="s">
        <v>92</v>
      </c>
      <c r="I14" s="445">
        <v>9830</v>
      </c>
      <c r="J14" s="132" t="s">
        <v>584</v>
      </c>
    </row>
    <row r="15" spans="1:10" s="31" customFormat="1" ht="72.650000000000006" customHeight="1" x14ac:dyDescent="0.25">
      <c r="A15" s="84" t="s">
        <v>153</v>
      </c>
      <c r="B15" s="28" t="s">
        <v>207</v>
      </c>
      <c r="C15" s="27" t="s">
        <v>252</v>
      </c>
      <c r="D15" s="11" t="s">
        <v>208</v>
      </c>
      <c r="E15" s="43" t="s">
        <v>295</v>
      </c>
      <c r="F15" s="97"/>
      <c r="G15" s="142">
        <v>0</v>
      </c>
      <c r="H15" s="27"/>
      <c r="I15" s="55">
        <v>0</v>
      </c>
      <c r="J15" s="189" t="s">
        <v>568</v>
      </c>
    </row>
    <row r="16" spans="1:10" ht="88.4" customHeight="1" x14ac:dyDescent="0.25">
      <c r="A16" s="82" t="s">
        <v>62</v>
      </c>
      <c r="B16" s="8" t="s">
        <v>47</v>
      </c>
      <c r="C16" s="11" t="s">
        <v>259</v>
      </c>
      <c r="D16" s="11" t="s">
        <v>208</v>
      </c>
      <c r="E16" s="42" t="s">
        <v>126</v>
      </c>
      <c r="F16" s="94"/>
      <c r="G16" s="140">
        <v>2500</v>
      </c>
      <c r="H16" s="9"/>
      <c r="I16" s="403">
        <v>1775</v>
      </c>
      <c r="J16" s="68"/>
    </row>
    <row r="17" spans="1:11" ht="57.65" customHeight="1" x14ac:dyDescent="0.25">
      <c r="A17" s="85" t="s">
        <v>63</v>
      </c>
      <c r="B17" s="8" t="s">
        <v>93</v>
      </c>
      <c r="C17" s="11" t="s">
        <v>25</v>
      </c>
      <c r="D17" s="11" t="s">
        <v>208</v>
      </c>
      <c r="E17" s="42"/>
      <c r="F17" s="94"/>
      <c r="G17" s="142">
        <v>40000</v>
      </c>
      <c r="H17" s="9"/>
      <c r="I17" s="403">
        <v>45000</v>
      </c>
      <c r="J17" s="69"/>
    </row>
    <row r="18" spans="1:11" ht="42" customHeight="1" x14ac:dyDescent="0.25">
      <c r="A18" s="85" t="s">
        <v>110</v>
      </c>
      <c r="B18" s="8" t="s">
        <v>111</v>
      </c>
      <c r="C18" s="11" t="s">
        <v>112</v>
      </c>
      <c r="D18" s="13" t="s">
        <v>191</v>
      </c>
      <c r="E18" s="39" t="s">
        <v>195</v>
      </c>
      <c r="F18" s="94"/>
      <c r="G18" s="140">
        <v>0</v>
      </c>
      <c r="H18" s="11" t="s">
        <v>88</v>
      </c>
      <c r="I18" s="400"/>
      <c r="J18" s="36" t="s">
        <v>392</v>
      </c>
    </row>
    <row r="19" spans="1:11" ht="57" customHeight="1" x14ac:dyDescent="0.25">
      <c r="A19" s="82" t="s">
        <v>64</v>
      </c>
      <c r="B19" s="8" t="s">
        <v>3</v>
      </c>
      <c r="C19" s="11" t="s">
        <v>253</v>
      </c>
      <c r="D19" s="11" t="s">
        <v>208</v>
      </c>
      <c r="E19" s="41" t="s">
        <v>583</v>
      </c>
      <c r="F19" s="94"/>
      <c r="G19" s="140">
        <v>1500</v>
      </c>
      <c r="H19" s="11"/>
      <c r="I19" s="401">
        <v>1500</v>
      </c>
      <c r="J19" s="8" t="s">
        <v>450</v>
      </c>
    </row>
    <row r="20" spans="1:11" ht="57" customHeight="1" x14ac:dyDescent="0.25">
      <c r="A20" s="82" t="s">
        <v>178</v>
      </c>
      <c r="B20" s="8" t="s">
        <v>586</v>
      </c>
      <c r="C20" s="11" t="s">
        <v>259</v>
      </c>
      <c r="D20" s="11" t="s">
        <v>208</v>
      </c>
      <c r="E20" s="3" t="s">
        <v>283</v>
      </c>
      <c r="F20" s="98"/>
      <c r="G20" s="140">
        <v>5000</v>
      </c>
      <c r="H20" s="11"/>
      <c r="I20" s="403">
        <v>5000</v>
      </c>
      <c r="J20" s="66" t="s">
        <v>421</v>
      </c>
    </row>
    <row r="21" spans="1:11" ht="62.15" customHeight="1" x14ac:dyDescent="0.25">
      <c r="A21" s="85" t="s">
        <v>98</v>
      </c>
      <c r="B21" s="8" t="s">
        <v>99</v>
      </c>
      <c r="C21" s="11" t="s">
        <v>90</v>
      </c>
      <c r="D21" s="13" t="s">
        <v>191</v>
      </c>
      <c r="E21" s="42" t="s">
        <v>196</v>
      </c>
      <c r="F21" s="94"/>
      <c r="G21" s="142">
        <v>15000</v>
      </c>
      <c r="H21" s="11"/>
      <c r="I21" s="403">
        <v>17500</v>
      </c>
      <c r="J21" s="70"/>
    </row>
    <row r="22" spans="1:11" ht="71.900000000000006" customHeight="1" x14ac:dyDescent="0.25">
      <c r="A22" s="85" t="s">
        <v>65</v>
      </c>
      <c r="B22" s="8" t="s">
        <v>4</v>
      </c>
      <c r="C22" s="11" t="s">
        <v>26</v>
      </c>
      <c r="D22" s="11" t="s">
        <v>208</v>
      </c>
      <c r="F22" s="98"/>
      <c r="G22" s="140">
        <v>22605</v>
      </c>
      <c r="H22" s="9"/>
      <c r="I22" s="403">
        <v>22604</v>
      </c>
      <c r="J22" s="184" t="s">
        <v>454</v>
      </c>
    </row>
    <row r="23" spans="1:11" ht="71.900000000000006" customHeight="1" x14ac:dyDescent="0.35">
      <c r="A23" s="85" t="s">
        <v>66</v>
      </c>
      <c r="B23" s="8" t="s">
        <v>5</v>
      </c>
      <c r="C23" s="11" t="s">
        <v>27</v>
      </c>
      <c r="D23" s="13" t="s">
        <v>191</v>
      </c>
      <c r="E23" s="42" t="s">
        <v>209</v>
      </c>
      <c r="F23" s="94"/>
      <c r="G23" s="140">
        <v>34991</v>
      </c>
      <c r="H23" s="9"/>
      <c r="I23" s="403">
        <v>41905</v>
      </c>
      <c r="J23" s="105"/>
    </row>
    <row r="24" spans="1:11" ht="71.900000000000006" customHeight="1" x14ac:dyDescent="0.25">
      <c r="A24" s="85" t="s">
        <v>183</v>
      </c>
      <c r="B24" s="8" t="s">
        <v>184</v>
      </c>
      <c r="C24" s="11" t="s">
        <v>256</v>
      </c>
      <c r="D24" s="11" t="s">
        <v>208</v>
      </c>
      <c r="E24" s="50" t="s">
        <v>294</v>
      </c>
      <c r="F24" s="99"/>
      <c r="G24" s="143">
        <v>56300</v>
      </c>
      <c r="H24" s="49"/>
      <c r="I24" s="401">
        <v>60000</v>
      </c>
      <c r="J24" s="129" t="s">
        <v>455</v>
      </c>
    </row>
    <row r="25" spans="1:11" ht="66" customHeight="1" x14ac:dyDescent="0.25">
      <c r="A25" s="84" t="s">
        <v>67</v>
      </c>
      <c r="B25" s="8" t="s">
        <v>580</v>
      </c>
      <c r="C25" s="11" t="s">
        <v>254</v>
      </c>
      <c r="D25" s="11" t="s">
        <v>208</v>
      </c>
      <c r="E25" s="41" t="s">
        <v>577</v>
      </c>
      <c r="F25" s="94"/>
      <c r="G25" s="202">
        <v>2000</v>
      </c>
      <c r="I25" s="397">
        <v>2000</v>
      </c>
      <c r="J25" s="66" t="s">
        <v>531</v>
      </c>
    </row>
    <row r="26" spans="1:11" ht="39" customHeight="1" x14ac:dyDescent="0.25">
      <c r="A26" s="85" t="s">
        <v>70</v>
      </c>
      <c r="B26" s="8" t="s">
        <v>45</v>
      </c>
      <c r="C26" s="11" t="s">
        <v>50</v>
      </c>
      <c r="D26" s="11" t="s">
        <v>49</v>
      </c>
      <c r="E26" s="41" t="s">
        <v>397</v>
      </c>
      <c r="F26" s="94"/>
      <c r="G26" s="140">
        <v>13860</v>
      </c>
      <c r="H26" s="11" t="s">
        <v>88</v>
      </c>
      <c r="I26" s="401">
        <v>17314</v>
      </c>
      <c r="J26" s="185" t="s">
        <v>456</v>
      </c>
    </row>
    <row r="27" spans="1:11" ht="66" customHeight="1" x14ac:dyDescent="0.25">
      <c r="A27" s="85" t="s">
        <v>410</v>
      </c>
      <c r="B27" s="8" t="s">
        <v>411</v>
      </c>
      <c r="C27" s="36" t="s">
        <v>555</v>
      </c>
      <c r="D27" s="13" t="s">
        <v>191</v>
      </c>
      <c r="E27" s="41" t="s">
        <v>414</v>
      </c>
      <c r="F27" s="94"/>
      <c r="G27" s="203">
        <v>41540</v>
      </c>
      <c r="I27" s="394">
        <v>48000</v>
      </c>
      <c r="J27" s="106"/>
    </row>
    <row r="28" spans="1:11" ht="47.15" customHeight="1" x14ac:dyDescent="0.25">
      <c r="A28" s="85" t="s">
        <v>84</v>
      </c>
      <c r="B28" s="8" t="s">
        <v>130</v>
      </c>
      <c r="C28" s="11" t="s">
        <v>131</v>
      </c>
      <c r="D28" s="13" t="s">
        <v>200</v>
      </c>
      <c r="E28" s="41" t="s">
        <v>202</v>
      </c>
      <c r="F28" s="94"/>
      <c r="G28" s="140">
        <v>6959</v>
      </c>
      <c r="H28" s="11"/>
      <c r="I28" s="403">
        <v>9203</v>
      </c>
      <c r="J28" s="66" t="s">
        <v>394</v>
      </c>
    </row>
    <row r="29" spans="1:11" ht="34.5" x14ac:dyDescent="0.25">
      <c r="A29" s="82" t="s">
        <v>106</v>
      </c>
      <c r="B29" s="8" t="s">
        <v>137</v>
      </c>
      <c r="C29" s="11" t="s">
        <v>249</v>
      </c>
      <c r="D29" s="11" t="s">
        <v>208</v>
      </c>
      <c r="E29" s="39" t="s">
        <v>384</v>
      </c>
      <c r="F29" s="94"/>
      <c r="G29" s="140">
        <v>0</v>
      </c>
      <c r="H29" s="11" t="s">
        <v>105</v>
      </c>
      <c r="I29" s="66"/>
      <c r="J29" s="73" t="s">
        <v>457</v>
      </c>
      <c r="K29" s="1" t="s">
        <v>458</v>
      </c>
    </row>
    <row r="30" spans="1:11" ht="47.15" customHeight="1" x14ac:dyDescent="0.35">
      <c r="A30" s="85" t="s">
        <v>68</v>
      </c>
      <c r="B30" s="8" t="s">
        <v>6</v>
      </c>
      <c r="C30" s="11" t="s">
        <v>28</v>
      </c>
      <c r="D30" s="13" t="s">
        <v>191</v>
      </c>
      <c r="E30" s="41" t="s">
        <v>201</v>
      </c>
      <c r="F30" s="94"/>
      <c r="G30" s="140">
        <v>3450</v>
      </c>
      <c r="H30" s="11"/>
      <c r="I30" s="403">
        <v>4500</v>
      </c>
      <c r="J30" s="67"/>
    </row>
    <row r="31" spans="1:11" ht="47.15" customHeight="1" x14ac:dyDescent="0.25">
      <c r="A31" s="85" t="s">
        <v>68</v>
      </c>
      <c r="B31" s="8" t="s">
        <v>159</v>
      </c>
      <c r="C31" s="11" t="s">
        <v>166</v>
      </c>
      <c r="D31" s="13" t="s">
        <v>191</v>
      </c>
      <c r="E31" s="41" t="s">
        <v>203</v>
      </c>
      <c r="F31" s="94"/>
      <c r="G31" s="142">
        <v>10130</v>
      </c>
      <c r="H31" s="11"/>
      <c r="I31" s="403">
        <v>9743</v>
      </c>
      <c r="J31" s="74"/>
    </row>
    <row r="32" spans="1:11" ht="47.15" customHeight="1" x14ac:dyDescent="0.25">
      <c r="A32" s="85" t="s">
        <v>541</v>
      </c>
      <c r="B32" s="8" t="s">
        <v>542</v>
      </c>
      <c r="C32" s="11" t="s">
        <v>546</v>
      </c>
      <c r="D32" s="13"/>
      <c r="E32" s="41"/>
      <c r="F32" s="94"/>
      <c r="G32" s="142">
        <v>7000</v>
      </c>
      <c r="H32" s="11"/>
      <c r="I32" s="403">
        <v>5750</v>
      </c>
      <c r="J32" s="74"/>
    </row>
    <row r="33" spans="1:11" ht="47.15" customHeight="1" x14ac:dyDescent="0.25">
      <c r="A33" s="11" t="s">
        <v>329</v>
      </c>
      <c r="B33" s="8" t="s">
        <v>357</v>
      </c>
      <c r="C33" s="11" t="s">
        <v>359</v>
      </c>
      <c r="D33" s="13"/>
      <c r="E33" s="41"/>
      <c r="F33" s="94"/>
      <c r="G33" s="142">
        <v>8000</v>
      </c>
      <c r="H33" s="11"/>
      <c r="I33" s="403"/>
      <c r="J33" s="421" t="s">
        <v>543</v>
      </c>
    </row>
    <row r="34" spans="1:11" s="15" customFormat="1" ht="64.400000000000006" hidden="1" customHeight="1" x14ac:dyDescent="0.25">
      <c r="A34" s="82" t="s">
        <v>358</v>
      </c>
      <c r="B34" s="8" t="s">
        <v>357</v>
      </c>
      <c r="C34" s="11" t="s">
        <v>359</v>
      </c>
      <c r="D34" s="11" t="s">
        <v>208</v>
      </c>
      <c r="E34" s="41" t="s">
        <v>393</v>
      </c>
      <c r="F34" s="94"/>
      <c r="G34" s="142"/>
      <c r="H34" s="13"/>
      <c r="I34" s="65"/>
      <c r="J34" s="55" t="s">
        <v>540</v>
      </c>
    </row>
    <row r="35" spans="1:11" s="117" customFormat="1" ht="61.4" hidden="1" customHeight="1" x14ac:dyDescent="0.25">
      <c r="A35" s="112" t="s">
        <v>94</v>
      </c>
      <c r="B35" s="113" t="s">
        <v>95</v>
      </c>
      <c r="C35" s="112" t="s">
        <v>39</v>
      </c>
      <c r="D35" s="112" t="s">
        <v>208</v>
      </c>
      <c r="E35" s="114"/>
      <c r="F35" s="115" t="s">
        <v>385</v>
      </c>
      <c r="G35" s="206"/>
      <c r="H35" s="116"/>
      <c r="I35" s="391"/>
      <c r="J35" s="78" t="s">
        <v>395</v>
      </c>
    </row>
    <row r="36" spans="1:11" ht="54" customHeight="1" x14ac:dyDescent="0.35">
      <c r="A36" s="85" t="s">
        <v>77</v>
      </c>
      <c r="B36" s="8" t="s">
        <v>82</v>
      </c>
      <c r="C36" s="11" t="s">
        <v>38</v>
      </c>
      <c r="D36" s="13" t="s">
        <v>191</v>
      </c>
      <c r="E36" s="41" t="s">
        <v>396</v>
      </c>
      <c r="F36" s="94"/>
      <c r="G36" s="140">
        <v>2314</v>
      </c>
      <c r="H36" s="11"/>
      <c r="I36" s="403">
        <v>2500</v>
      </c>
      <c r="J36" s="67"/>
    </row>
    <row r="37" spans="1:11" ht="54" customHeight="1" x14ac:dyDescent="0.25">
      <c r="A37" s="82" t="s">
        <v>163</v>
      </c>
      <c r="B37" s="8" t="s">
        <v>164</v>
      </c>
      <c r="C37" s="11" t="s">
        <v>257</v>
      </c>
      <c r="D37" s="11" t="s">
        <v>208</v>
      </c>
      <c r="E37" s="41" t="s">
        <v>402</v>
      </c>
      <c r="F37" s="94"/>
      <c r="G37" s="140">
        <v>1500</v>
      </c>
      <c r="H37" s="11"/>
      <c r="I37" s="395">
        <v>1500</v>
      </c>
      <c r="J37" s="66"/>
    </row>
    <row r="38" spans="1:11" ht="54.65" customHeight="1" x14ac:dyDescent="0.35">
      <c r="A38" s="85" t="s">
        <v>69</v>
      </c>
      <c r="B38" s="8" t="s">
        <v>42</v>
      </c>
      <c r="C38" s="11" t="s">
        <v>29</v>
      </c>
      <c r="D38" s="13" t="s">
        <v>191</v>
      </c>
      <c r="E38" s="41" t="s">
        <v>204</v>
      </c>
      <c r="F38" s="94"/>
      <c r="G38" s="140">
        <v>3570</v>
      </c>
      <c r="H38" s="9"/>
      <c r="I38" s="403">
        <v>3842</v>
      </c>
      <c r="J38" s="67"/>
    </row>
    <row r="39" spans="1:11" ht="45.65" customHeight="1" x14ac:dyDescent="0.35">
      <c r="A39" s="85" t="s">
        <v>71</v>
      </c>
      <c r="B39" s="8" t="s">
        <v>7</v>
      </c>
      <c r="C39" s="11" t="s">
        <v>30</v>
      </c>
      <c r="D39" s="13" t="s">
        <v>191</v>
      </c>
      <c r="E39" s="41" t="s">
        <v>206</v>
      </c>
      <c r="F39" s="94"/>
      <c r="G39" s="140">
        <v>4459</v>
      </c>
      <c r="H39" s="9"/>
      <c r="I39" s="403">
        <v>5396</v>
      </c>
      <c r="J39" s="67"/>
    </row>
    <row r="40" spans="1:11" ht="43.4" customHeight="1" x14ac:dyDescent="0.35">
      <c r="A40" s="85" t="s">
        <v>76</v>
      </c>
      <c r="B40" s="8" t="s">
        <v>46</v>
      </c>
      <c r="C40" s="11" t="s">
        <v>35</v>
      </c>
      <c r="D40" s="13" t="s">
        <v>191</v>
      </c>
      <c r="E40" s="41" t="s">
        <v>205</v>
      </c>
      <c r="F40" s="94"/>
      <c r="G40" s="140">
        <v>2190</v>
      </c>
      <c r="H40" s="9"/>
      <c r="I40" s="403">
        <v>2735</v>
      </c>
      <c r="J40" s="67"/>
    </row>
    <row r="41" spans="1:11" ht="80.5" x14ac:dyDescent="0.25">
      <c r="A41" s="85" t="s">
        <v>78</v>
      </c>
      <c r="B41" s="8" t="s">
        <v>41</v>
      </c>
      <c r="C41" s="11" t="s">
        <v>36</v>
      </c>
      <c r="D41" s="5"/>
      <c r="E41" s="42" t="s">
        <v>161</v>
      </c>
      <c r="F41" s="94"/>
      <c r="G41" s="145">
        <v>16000</v>
      </c>
      <c r="H41" s="11" t="s">
        <v>121</v>
      </c>
      <c r="I41" s="401">
        <v>32147</v>
      </c>
      <c r="J41" s="11" t="s">
        <v>422</v>
      </c>
    </row>
    <row r="42" spans="1:11" ht="43.4" customHeight="1" x14ac:dyDescent="0.25">
      <c r="A42" s="23" t="s">
        <v>141</v>
      </c>
      <c r="B42" s="24" t="s">
        <v>142</v>
      </c>
      <c r="C42" s="23" t="s">
        <v>143</v>
      </c>
      <c r="D42" s="53" t="s">
        <v>191</v>
      </c>
      <c r="E42" s="45" t="s">
        <v>157</v>
      </c>
      <c r="F42" s="100"/>
      <c r="G42" s="144"/>
      <c r="H42" s="26"/>
      <c r="I42" s="392"/>
      <c r="J42" s="75" t="s">
        <v>162</v>
      </c>
    </row>
    <row r="43" spans="1:11" s="31" customFormat="1" ht="43.4" customHeight="1" x14ac:dyDescent="0.25">
      <c r="A43" s="27" t="s">
        <v>552</v>
      </c>
      <c r="B43" s="28" t="s">
        <v>553</v>
      </c>
      <c r="C43" s="27" t="s">
        <v>554</v>
      </c>
      <c r="D43" s="54"/>
      <c r="E43" s="439"/>
      <c r="F43" s="440"/>
      <c r="G43" s="55"/>
      <c r="H43" s="30"/>
      <c r="I43" s="441"/>
      <c r="J43" s="55" t="s">
        <v>559</v>
      </c>
    </row>
    <row r="44" spans="1:11" s="51" customFormat="1" ht="43.4" customHeight="1" x14ac:dyDescent="0.25">
      <c r="A44" s="23" t="s">
        <v>170</v>
      </c>
      <c r="B44" s="24" t="s">
        <v>171</v>
      </c>
      <c r="C44" s="23" t="s">
        <v>172</v>
      </c>
      <c r="D44" s="53"/>
      <c r="E44" s="107" t="s">
        <v>290</v>
      </c>
      <c r="F44" s="104"/>
      <c r="G44" s="144"/>
      <c r="H44" s="26"/>
      <c r="I44" s="392"/>
      <c r="J44" s="75" t="s">
        <v>289</v>
      </c>
    </row>
    <row r="45" spans="1:11" s="4" customFormat="1" ht="56.5" customHeight="1" x14ac:dyDescent="0.35">
      <c r="A45" s="11" t="s">
        <v>215</v>
      </c>
      <c r="B45" s="8" t="s">
        <v>216</v>
      </c>
      <c r="C45" s="11"/>
      <c r="D45" s="11" t="s">
        <v>217</v>
      </c>
      <c r="E45" s="39"/>
      <c r="F45" s="148"/>
      <c r="G45" s="140">
        <v>0</v>
      </c>
      <c r="H45" s="11"/>
      <c r="I45" s="11"/>
      <c r="J45" s="11" t="s">
        <v>403</v>
      </c>
    </row>
    <row r="46" spans="1:11" s="51" customFormat="1" ht="69" x14ac:dyDescent="0.25">
      <c r="A46" s="88" t="s">
        <v>389</v>
      </c>
      <c r="B46" s="28" t="s">
        <v>390</v>
      </c>
      <c r="C46" s="27" t="s">
        <v>391</v>
      </c>
      <c r="D46" s="54" t="s">
        <v>191</v>
      </c>
      <c r="E46" s="126" t="s">
        <v>405</v>
      </c>
      <c r="F46" s="127"/>
      <c r="G46" s="204">
        <v>2760</v>
      </c>
      <c r="H46" s="30"/>
      <c r="I46" s="404">
        <v>3410</v>
      </c>
      <c r="J46" s="55"/>
      <c r="K46" s="187"/>
    </row>
    <row r="47" spans="1:11" ht="76.400000000000006" customHeight="1" x14ac:dyDescent="0.25">
      <c r="A47" s="82" t="s">
        <v>127</v>
      </c>
      <c r="B47" s="8" t="s">
        <v>581</v>
      </c>
      <c r="C47" s="11" t="s">
        <v>255</v>
      </c>
      <c r="D47" s="11" t="s">
        <v>208</v>
      </c>
      <c r="E47" s="41" t="s">
        <v>210</v>
      </c>
      <c r="F47" s="94"/>
      <c r="G47" s="142">
        <v>3750</v>
      </c>
      <c r="H47" s="30"/>
      <c r="I47" s="404">
        <v>16500</v>
      </c>
      <c r="J47" s="404" t="s">
        <v>578</v>
      </c>
      <c r="K47" s="182"/>
    </row>
    <row r="48" spans="1:11" ht="94.4" customHeight="1" x14ac:dyDescent="0.25">
      <c r="A48" s="82" t="s">
        <v>72</v>
      </c>
      <c r="B48" s="8" t="s">
        <v>151</v>
      </c>
      <c r="C48" s="11" t="s">
        <v>258</v>
      </c>
      <c r="D48" s="11" t="s">
        <v>208</v>
      </c>
      <c r="E48" s="41" t="s">
        <v>199</v>
      </c>
      <c r="F48" s="94"/>
      <c r="G48" s="205">
        <v>0</v>
      </c>
      <c r="H48" s="5"/>
      <c r="I48" s="66"/>
      <c r="J48" s="11" t="s">
        <v>459</v>
      </c>
    </row>
    <row r="49" spans="1:11" ht="94.4" customHeight="1" x14ac:dyDescent="0.25">
      <c r="A49" s="82" t="s">
        <v>439</v>
      </c>
      <c r="B49" s="8" t="s">
        <v>440</v>
      </c>
      <c r="C49" s="11"/>
      <c r="D49" s="11"/>
      <c r="E49" s="41"/>
      <c r="F49" s="94"/>
      <c r="G49" s="142">
        <v>1000</v>
      </c>
      <c r="H49" s="5"/>
      <c r="I49" s="395"/>
      <c r="J49" s="405"/>
    </row>
    <row r="50" spans="1:11" ht="54" customHeight="1" x14ac:dyDescent="0.25">
      <c r="A50" s="85" t="s">
        <v>100</v>
      </c>
      <c r="B50" s="8" t="s">
        <v>101</v>
      </c>
      <c r="C50" s="11" t="s">
        <v>102</v>
      </c>
      <c r="D50" s="11" t="s">
        <v>208</v>
      </c>
      <c r="E50" s="46" t="s">
        <v>173</v>
      </c>
      <c r="F50" s="97"/>
      <c r="G50" s="140">
        <v>2650</v>
      </c>
      <c r="H50" s="9"/>
      <c r="I50" s="403">
        <v>5725</v>
      </c>
      <c r="J50" s="11" t="s">
        <v>287</v>
      </c>
      <c r="K50" s="1" t="s">
        <v>291</v>
      </c>
    </row>
    <row r="51" spans="1:11" ht="48" customHeight="1" x14ac:dyDescent="0.25">
      <c r="A51" s="82" t="s">
        <v>185</v>
      </c>
      <c r="B51" s="8" t="s">
        <v>186</v>
      </c>
      <c r="C51" s="11" t="s">
        <v>259</v>
      </c>
      <c r="D51" s="11" t="s">
        <v>208</v>
      </c>
      <c r="E51" s="46" t="s">
        <v>377</v>
      </c>
      <c r="F51" s="97"/>
      <c r="G51" s="140">
        <v>5000</v>
      </c>
      <c r="H51" s="9"/>
      <c r="I51" s="395">
        <v>5000</v>
      </c>
      <c r="J51" s="11" t="s">
        <v>453</v>
      </c>
    </row>
    <row r="52" spans="1:11" ht="56.9" customHeight="1" x14ac:dyDescent="0.35">
      <c r="A52" s="85" t="s">
        <v>73</v>
      </c>
      <c r="B52" s="8" t="s">
        <v>8</v>
      </c>
      <c r="C52" s="11" t="s">
        <v>31</v>
      </c>
      <c r="D52" s="54" t="s">
        <v>191</v>
      </c>
      <c r="E52" s="42" t="s">
        <v>264</v>
      </c>
      <c r="F52" s="94"/>
      <c r="G52" s="140">
        <v>18281</v>
      </c>
      <c r="H52" s="11"/>
      <c r="I52" s="403">
        <v>21500</v>
      </c>
      <c r="J52" s="147"/>
    </row>
    <row r="53" spans="1:11" ht="56.9" customHeight="1" x14ac:dyDescent="0.35">
      <c r="A53" s="85" t="s">
        <v>261</v>
      </c>
      <c r="B53" s="8" t="s">
        <v>147</v>
      </c>
      <c r="C53" s="11" t="s">
        <v>146</v>
      </c>
      <c r="D53" s="54" t="s">
        <v>191</v>
      </c>
      <c r="E53" s="42" t="s">
        <v>211</v>
      </c>
      <c r="F53" s="94"/>
      <c r="G53" s="140">
        <v>12001</v>
      </c>
      <c r="H53" s="11"/>
      <c r="I53" s="403">
        <v>13980</v>
      </c>
      <c r="J53" s="147"/>
    </row>
    <row r="54" spans="1:11" ht="51" customHeight="1" x14ac:dyDescent="0.35">
      <c r="A54" s="85" t="s">
        <v>262</v>
      </c>
      <c r="B54" s="10" t="s">
        <v>9</v>
      </c>
      <c r="C54" s="11" t="s">
        <v>32</v>
      </c>
      <c r="D54" s="54" t="s">
        <v>191</v>
      </c>
      <c r="E54" s="41" t="s">
        <v>212</v>
      </c>
      <c r="F54" s="94"/>
      <c r="G54" s="140">
        <v>10857</v>
      </c>
      <c r="H54" s="11" t="s">
        <v>124</v>
      </c>
      <c r="I54" s="403">
        <v>12790</v>
      </c>
      <c r="J54" s="147"/>
    </row>
    <row r="55" spans="1:11" ht="67.400000000000006" customHeight="1" x14ac:dyDescent="0.25">
      <c r="A55" s="85" t="s">
        <v>74</v>
      </c>
      <c r="B55" s="8" t="s">
        <v>81</v>
      </c>
      <c r="C55" s="11" t="s">
        <v>33</v>
      </c>
      <c r="D55" s="11" t="s">
        <v>208</v>
      </c>
      <c r="E55" s="41" t="s">
        <v>174</v>
      </c>
      <c r="F55" s="94"/>
      <c r="G55" s="140">
        <v>24172</v>
      </c>
      <c r="H55" s="9"/>
      <c r="I55" s="403">
        <v>28295</v>
      </c>
      <c r="J55" s="36"/>
    </row>
    <row r="56" spans="1:11" ht="36.65" customHeight="1" x14ac:dyDescent="0.35">
      <c r="A56" s="85" t="s">
        <v>80</v>
      </c>
      <c r="B56" s="8" t="s">
        <v>11</v>
      </c>
      <c r="C56" s="11" t="s">
        <v>40</v>
      </c>
      <c r="D56" s="11" t="s">
        <v>208</v>
      </c>
      <c r="E56" s="47" t="s">
        <v>156</v>
      </c>
      <c r="F56" s="103"/>
      <c r="G56" s="140">
        <v>4138</v>
      </c>
      <c r="H56" s="9"/>
      <c r="I56" s="403">
        <v>6295</v>
      </c>
      <c r="J56" s="67"/>
    </row>
    <row r="57" spans="1:11" ht="36.65" customHeight="1" x14ac:dyDescent="0.35">
      <c r="A57" s="88" t="s">
        <v>138</v>
      </c>
      <c r="B57" s="28" t="s">
        <v>152</v>
      </c>
      <c r="C57" s="27" t="s">
        <v>139</v>
      </c>
      <c r="D57" s="54" t="s">
        <v>191</v>
      </c>
      <c r="E57" s="46" t="s">
        <v>213</v>
      </c>
      <c r="F57" s="97"/>
      <c r="G57" s="142">
        <v>5000</v>
      </c>
      <c r="H57" s="30"/>
      <c r="I57" s="404">
        <v>6200</v>
      </c>
      <c r="J57" s="67"/>
    </row>
    <row r="58" spans="1:11" ht="56.9" customHeight="1" x14ac:dyDescent="0.35">
      <c r="A58" s="85" t="s">
        <v>75</v>
      </c>
      <c r="B58" s="8" t="s">
        <v>10</v>
      </c>
      <c r="C58" s="11" t="s">
        <v>34</v>
      </c>
      <c r="D58" s="54" t="s">
        <v>191</v>
      </c>
      <c r="E58" s="41" t="s">
        <v>214</v>
      </c>
      <c r="F58" s="94"/>
      <c r="G58" s="140">
        <v>3411</v>
      </c>
      <c r="H58" s="9"/>
      <c r="I58" s="403">
        <v>6885</v>
      </c>
      <c r="J58" s="67"/>
    </row>
    <row r="59" spans="1:11" ht="56.9" customHeight="1" x14ac:dyDescent="0.35">
      <c r="A59" s="85" t="s">
        <v>386</v>
      </c>
      <c r="B59" s="8" t="s">
        <v>387</v>
      </c>
      <c r="C59" s="11"/>
      <c r="D59" s="54" t="s">
        <v>191</v>
      </c>
      <c r="E59" s="41" t="s">
        <v>388</v>
      </c>
      <c r="F59" s="94"/>
      <c r="G59" s="140">
        <v>5750</v>
      </c>
      <c r="H59" s="9"/>
      <c r="I59" s="403">
        <v>7150</v>
      </c>
      <c r="J59" s="67"/>
    </row>
    <row r="60" spans="1:11" ht="15" thickBot="1" x14ac:dyDescent="0.4">
      <c r="A60" s="57"/>
      <c r="B60" s="58"/>
      <c r="C60" s="57"/>
      <c r="D60" s="59"/>
      <c r="E60" s="60"/>
      <c r="F60" s="101"/>
      <c r="G60" s="61">
        <f>SUM(G3:G59)</f>
        <v>554979</v>
      </c>
      <c r="H60" s="59"/>
      <c r="I60" s="470">
        <f>SUM(I3:I59)</f>
        <v>655519</v>
      </c>
      <c r="J60" s="62"/>
    </row>
    <row r="61" spans="1:11" x14ac:dyDescent="0.35">
      <c r="G61" s="4"/>
    </row>
    <row r="62" spans="1:11" s="15" customFormat="1" ht="51" customHeight="1" x14ac:dyDescent="0.35">
      <c r="A62" s="13" t="s">
        <v>114</v>
      </c>
      <c r="B62" s="14" t="s">
        <v>115</v>
      </c>
      <c r="C62" s="13"/>
      <c r="D62" s="16"/>
      <c r="E62" s="48"/>
      <c r="F62" s="38"/>
      <c r="G62" s="13"/>
      <c r="H62" s="13" t="s">
        <v>116</v>
      </c>
      <c r="I62" s="13"/>
      <c r="J62" s="37"/>
    </row>
    <row r="64" spans="1:11" x14ac:dyDescent="0.35">
      <c r="E64" s="44" t="s">
        <v>136</v>
      </c>
      <c r="G64" s="21"/>
      <c r="J64" s="18"/>
    </row>
    <row r="65" spans="1:10" ht="15" customHeight="1" x14ac:dyDescent="0.35">
      <c r="B65" s="7"/>
      <c r="G65" s="4"/>
    </row>
    <row r="66" spans="1:10" ht="36.65" customHeight="1" x14ac:dyDescent="0.25">
      <c r="A66" s="11" t="s">
        <v>241</v>
      </c>
      <c r="B66" s="8" t="s">
        <v>243</v>
      </c>
      <c r="C66" s="11" t="s">
        <v>218</v>
      </c>
      <c r="D66" s="11" t="s">
        <v>218</v>
      </c>
      <c r="E66" s="9"/>
      <c r="F66" s="11" t="s">
        <v>399</v>
      </c>
      <c r="G66" s="39"/>
      <c r="H66" s="9"/>
      <c r="I66" s="9"/>
      <c r="J66" s="63" t="s">
        <v>246</v>
      </c>
    </row>
    <row r="67" spans="1:10" ht="36.65" customHeight="1" x14ac:dyDescent="0.25">
      <c r="A67" s="11" t="s">
        <v>241</v>
      </c>
      <c r="B67" s="8" t="s">
        <v>243</v>
      </c>
      <c r="C67" s="11" t="s">
        <v>218</v>
      </c>
      <c r="D67" s="11" t="s">
        <v>218</v>
      </c>
      <c r="E67" s="9"/>
      <c r="F67" s="11"/>
      <c r="G67" s="39"/>
      <c r="H67" s="9"/>
      <c r="I67" s="9"/>
      <c r="J67" s="63" t="s">
        <v>246</v>
      </c>
    </row>
    <row r="68" spans="1:10" ht="36.65" customHeight="1" x14ac:dyDescent="0.25">
      <c r="A68" s="132" t="s">
        <v>67</v>
      </c>
      <c r="B68" s="133" t="s">
        <v>244</v>
      </c>
      <c r="C68" s="132" t="s">
        <v>218</v>
      </c>
      <c r="D68" s="132" t="s">
        <v>218</v>
      </c>
      <c r="E68" s="134"/>
      <c r="F68" s="132" t="s">
        <v>400</v>
      </c>
      <c r="G68" s="135"/>
      <c r="H68" s="9"/>
      <c r="I68" s="9"/>
      <c r="J68" s="63" t="s">
        <v>246</v>
      </c>
    </row>
    <row r="69" spans="1:10" ht="36.65" customHeight="1" x14ac:dyDescent="0.25">
      <c r="A69" s="132" t="s">
        <v>67</v>
      </c>
      <c r="B69" s="133" t="s">
        <v>244</v>
      </c>
      <c r="C69" s="132" t="s">
        <v>218</v>
      </c>
      <c r="D69" s="132" t="s">
        <v>218</v>
      </c>
      <c r="E69" s="134"/>
      <c r="F69" s="132" t="s">
        <v>400</v>
      </c>
      <c r="G69" s="135"/>
      <c r="H69" s="9"/>
      <c r="I69" s="9"/>
      <c r="J69" s="63" t="s">
        <v>246</v>
      </c>
    </row>
    <row r="70" spans="1:10" ht="23" x14ac:dyDescent="0.25">
      <c r="A70" s="11" t="s">
        <v>242</v>
      </c>
      <c r="B70" s="8" t="s">
        <v>245</v>
      </c>
      <c r="C70" s="11" t="s">
        <v>218</v>
      </c>
      <c r="D70" s="11" t="s">
        <v>218</v>
      </c>
      <c r="E70" s="9"/>
      <c r="F70" s="11" t="s">
        <v>398</v>
      </c>
      <c r="G70" s="39"/>
      <c r="H70" s="9"/>
      <c r="I70" s="9"/>
      <c r="J70" s="63" t="s">
        <v>246</v>
      </c>
    </row>
    <row r="71" spans="1:10" ht="36.65" customHeight="1" x14ac:dyDescent="0.25">
      <c r="A71" s="11" t="s">
        <v>242</v>
      </c>
      <c r="B71" s="8" t="s">
        <v>245</v>
      </c>
      <c r="C71" s="11" t="s">
        <v>218</v>
      </c>
      <c r="D71" s="11" t="s">
        <v>218</v>
      </c>
      <c r="E71" s="9"/>
      <c r="F71" s="11"/>
      <c r="G71" s="39"/>
      <c r="H71" s="9"/>
      <c r="I71" s="9"/>
      <c r="J71" s="63" t="s">
        <v>246</v>
      </c>
    </row>
    <row r="72" spans="1:10" ht="29.5" customHeight="1" x14ac:dyDescent="0.35">
      <c r="A72" s="11" t="s">
        <v>418</v>
      </c>
      <c r="B72" s="8"/>
      <c r="C72" s="11"/>
      <c r="D72" s="9"/>
      <c r="E72" s="146"/>
      <c r="F72" s="39" t="s">
        <v>419</v>
      </c>
      <c r="G72" s="11"/>
      <c r="H72" s="9"/>
      <c r="I72" s="9"/>
      <c r="J72" s="147"/>
    </row>
  </sheetData>
  <sortState xmlns:xlrd2="http://schemas.microsoft.com/office/spreadsheetml/2017/richdata2" ref="A58:J61">
    <sortCondition ref="A58:A61"/>
  </sortState>
  <phoneticPr fontId="33" type="noConversion"/>
  <printOptions gridLines="1"/>
  <pageMargins left="0.2" right="0.2" top="0.5" bottom="0.5" header="0.3" footer="0.3"/>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8ABD-569F-491A-82F6-9E661A590172}">
  <dimension ref="A1:Q354"/>
  <sheetViews>
    <sheetView tabSelected="1" topLeftCell="B1" workbookViewId="0">
      <pane ySplit="1" topLeftCell="A240" activePane="bottomLeft" state="frozen"/>
      <selection activeCell="B1" sqref="B1"/>
      <selection pane="bottomLeft" activeCell="H243" sqref="H243"/>
    </sheetView>
  </sheetViews>
  <sheetFormatPr defaultColWidth="9.1796875" defaultRowHeight="15.5" x14ac:dyDescent="0.35"/>
  <cols>
    <col min="1" max="1" width="9" style="235" hidden="1" customWidth="1"/>
    <col min="2" max="2" width="23.54296875" style="281" bestFit="1" customWidth="1"/>
    <col min="3" max="3" width="12.7265625" style="281" customWidth="1"/>
    <col min="4" max="4" width="7.54296875" style="281" hidden="1" customWidth="1"/>
    <col min="5" max="5" width="28.81640625" style="357" customWidth="1"/>
    <col min="6" max="6" width="31.7265625" style="357" customWidth="1"/>
    <col min="7" max="7" width="16.81640625" style="357" customWidth="1"/>
    <col min="8" max="8" width="12.1796875" style="208" customWidth="1"/>
    <col min="9" max="10" width="12.1796875" style="309" customWidth="1"/>
    <col min="11" max="11" width="12.1796875" style="211" customWidth="1"/>
    <col min="12" max="12" width="10.1796875" style="211" customWidth="1"/>
    <col min="13" max="13" width="14.453125" style="371" bestFit="1" customWidth="1"/>
    <col min="14" max="16384" width="9.1796875" style="235"/>
  </cols>
  <sheetData>
    <row r="1" spans="1:13" s="213" customFormat="1" ht="31" x14ac:dyDescent="0.35">
      <c r="A1" s="207" t="s">
        <v>487</v>
      </c>
      <c r="B1" s="207" t="s">
        <v>488</v>
      </c>
      <c r="C1" s="207" t="s">
        <v>489</v>
      </c>
      <c r="D1" s="207" t="s">
        <v>490</v>
      </c>
      <c r="E1" s="475" t="s">
        <v>491</v>
      </c>
      <c r="F1" s="475"/>
      <c r="G1" s="207" t="s">
        <v>537</v>
      </c>
      <c r="H1" s="208" t="s">
        <v>492</v>
      </c>
      <c r="I1" s="209" t="s">
        <v>301</v>
      </c>
      <c r="J1" s="210" t="s">
        <v>493</v>
      </c>
      <c r="K1" s="208" t="s">
        <v>494</v>
      </c>
      <c r="L1" s="372"/>
      <c r="M1" s="382" t="s">
        <v>360</v>
      </c>
    </row>
    <row r="2" spans="1:13" s="213" customFormat="1" x14ac:dyDescent="0.35">
      <c r="A2" s="207"/>
      <c r="B2" s="214" t="s">
        <v>150</v>
      </c>
      <c r="C2" s="215"/>
      <c r="D2" s="215"/>
      <c r="E2" s="216"/>
      <c r="F2" s="216"/>
      <c r="G2" s="216"/>
      <c r="H2" s="208"/>
      <c r="I2" s="209"/>
      <c r="J2" s="210"/>
      <c r="K2" s="208">
        <v>0</v>
      </c>
      <c r="L2" s="372"/>
      <c r="M2" s="383"/>
    </row>
    <row r="3" spans="1:13" s="213" customFormat="1" x14ac:dyDescent="0.35">
      <c r="A3" s="207"/>
      <c r="B3" s="215"/>
      <c r="C3" s="215"/>
      <c r="D3" s="215"/>
      <c r="E3" s="360"/>
      <c r="F3" s="217"/>
      <c r="G3" s="217"/>
      <c r="H3" s="208"/>
      <c r="I3" s="218"/>
      <c r="J3" s="218"/>
      <c r="K3" s="208"/>
      <c r="L3" s="372"/>
      <c r="M3" s="384"/>
    </row>
    <row r="4" spans="1:13" s="213" customFormat="1" x14ac:dyDescent="0.35">
      <c r="A4" s="207"/>
      <c r="B4" s="215"/>
      <c r="C4" s="215"/>
      <c r="D4" s="215"/>
      <c r="E4" s="361"/>
      <c r="F4" s="217"/>
      <c r="G4" s="217"/>
      <c r="H4" s="208"/>
      <c r="I4" s="218"/>
      <c r="J4" s="218"/>
      <c r="K4" s="208"/>
      <c r="L4" s="372"/>
      <c r="M4" s="385"/>
    </row>
    <row r="5" spans="1:13" s="213" customFormat="1" x14ac:dyDescent="0.35">
      <c r="A5" s="207"/>
      <c r="B5" s="215"/>
      <c r="C5" s="215"/>
      <c r="D5" s="215"/>
      <c r="E5" s="360"/>
      <c r="F5" s="217"/>
      <c r="G5" s="217"/>
      <c r="H5" s="208"/>
      <c r="I5" s="218"/>
      <c r="J5" s="218"/>
      <c r="K5" s="208"/>
      <c r="L5" s="372"/>
      <c r="M5" s="385"/>
    </row>
    <row r="6" spans="1:13" s="213" customFormat="1" x14ac:dyDescent="0.35">
      <c r="A6" s="207"/>
      <c r="B6" s="215"/>
      <c r="C6" s="215"/>
      <c r="D6" s="215"/>
      <c r="E6" s="360"/>
      <c r="F6" s="217"/>
      <c r="G6" s="217"/>
      <c r="H6" s="208"/>
      <c r="I6" s="218"/>
      <c r="J6" s="218"/>
      <c r="K6" s="208"/>
      <c r="L6" s="372"/>
      <c r="M6" s="384"/>
    </row>
    <row r="7" spans="1:13" s="213" customFormat="1" x14ac:dyDescent="0.35">
      <c r="A7" s="207"/>
      <c r="B7" s="215"/>
      <c r="C7" s="215"/>
      <c r="D7" s="215"/>
      <c r="E7" s="147"/>
      <c r="F7" s="147"/>
      <c r="G7" s="147"/>
      <c r="H7" s="208"/>
      <c r="I7" s="218"/>
      <c r="J7" s="218"/>
      <c r="K7" s="208"/>
      <c r="L7" s="372"/>
      <c r="M7" s="384"/>
    </row>
    <row r="8" spans="1:13" s="213" customFormat="1" x14ac:dyDescent="0.35">
      <c r="A8" s="207"/>
      <c r="B8" s="207"/>
      <c r="C8" s="207"/>
      <c r="D8" s="207"/>
      <c r="E8" s="216"/>
      <c r="F8" s="216"/>
      <c r="G8" s="216"/>
      <c r="H8" s="208"/>
      <c r="I8" s="218"/>
      <c r="J8" s="218"/>
      <c r="K8" s="208"/>
      <c r="L8" s="372"/>
      <c r="M8" s="384"/>
    </row>
    <row r="9" spans="1:13" s="213" customFormat="1" ht="16" thickBot="1" x14ac:dyDescent="0.4">
      <c r="A9" s="207"/>
      <c r="B9" s="219"/>
      <c r="C9" s="219"/>
      <c r="D9" s="219"/>
      <c r="E9" s="220"/>
      <c r="F9" s="220"/>
      <c r="G9" s="220"/>
      <c r="H9" s="221">
        <f>K2-SUM(I3:J7)</f>
        <v>0</v>
      </c>
      <c r="I9" s="222"/>
      <c r="J9" s="223"/>
      <c r="K9" s="221"/>
      <c r="L9" s="373"/>
      <c r="M9" s="386"/>
    </row>
    <row r="10" spans="1:13" s="213" customFormat="1" x14ac:dyDescent="0.35">
      <c r="A10" s="207"/>
      <c r="B10" s="224" t="s">
        <v>303</v>
      </c>
      <c r="C10" s="225" t="s">
        <v>495</v>
      </c>
      <c r="D10" s="225"/>
      <c r="E10" s="476"/>
      <c r="F10" s="477"/>
      <c r="G10" s="227"/>
      <c r="H10" s="228"/>
      <c r="I10" s="229"/>
      <c r="J10" s="229"/>
      <c r="K10" s="230">
        <v>2400</v>
      </c>
      <c r="L10" s="374"/>
      <c r="M10" s="387"/>
    </row>
    <row r="11" spans="1:13" x14ac:dyDescent="0.35">
      <c r="A11" s="231"/>
      <c r="B11" s="215"/>
      <c r="C11" s="215"/>
      <c r="D11" s="215"/>
      <c r="E11" s="363"/>
      <c r="F11" s="245"/>
      <c r="G11" s="197"/>
      <c r="H11" s="232"/>
      <c r="I11" s="233"/>
      <c r="J11" s="233"/>
      <c r="K11" s="234"/>
      <c r="L11" s="375"/>
      <c r="M11" s="384"/>
    </row>
    <row r="12" spans="1:13" s="213" customFormat="1" x14ac:dyDescent="0.35">
      <c r="A12" s="207"/>
      <c r="B12" s="207"/>
      <c r="C12" s="207"/>
      <c r="D12" s="207"/>
      <c r="E12" s="236"/>
      <c r="F12" s="236"/>
      <c r="G12" s="435"/>
      <c r="H12" s="232"/>
      <c r="I12" s="233"/>
      <c r="J12" s="233"/>
      <c r="K12" s="212"/>
      <c r="L12" s="372"/>
      <c r="M12" s="384"/>
    </row>
    <row r="13" spans="1:13" s="213" customFormat="1" ht="16" thickBot="1" x14ac:dyDescent="0.4">
      <c r="A13" s="207"/>
      <c r="B13" s="237"/>
      <c r="C13" s="237"/>
      <c r="D13" s="237"/>
      <c r="E13" s="220"/>
      <c r="F13" s="220"/>
      <c r="G13" s="220"/>
      <c r="H13" s="238">
        <f>K10-I11</f>
        <v>2400</v>
      </c>
      <c r="I13" s="239"/>
      <c r="J13" s="239"/>
      <c r="K13" s="240"/>
      <c r="L13" s="373"/>
      <c r="M13" s="386"/>
    </row>
    <row r="14" spans="1:13" s="213" customFormat="1" x14ac:dyDescent="0.35">
      <c r="A14" s="207"/>
      <c r="B14" s="224" t="s">
        <v>57</v>
      </c>
      <c r="C14" s="225" t="s">
        <v>495</v>
      </c>
      <c r="D14" s="225"/>
      <c r="E14" s="474" t="s">
        <v>544</v>
      </c>
      <c r="F14" s="474"/>
      <c r="G14" s="412"/>
      <c r="H14" s="241"/>
      <c r="I14" s="242"/>
      <c r="J14" s="242"/>
      <c r="K14" s="243">
        <v>20000</v>
      </c>
      <c r="L14" s="374"/>
      <c r="M14" s="388"/>
    </row>
    <row r="15" spans="1:13" s="213" customFormat="1" x14ac:dyDescent="0.35">
      <c r="A15" s="207"/>
      <c r="B15" s="244"/>
      <c r="C15" s="244"/>
      <c r="D15" s="244"/>
      <c r="E15" s="434"/>
      <c r="F15" s="434"/>
      <c r="G15" s="434"/>
      <c r="H15" s="232"/>
      <c r="I15" s="233"/>
      <c r="J15" s="233"/>
      <c r="K15" s="234"/>
      <c r="L15" s="372"/>
      <c r="M15" s="384"/>
    </row>
    <row r="16" spans="1:13" s="213" customFormat="1" x14ac:dyDescent="0.35">
      <c r="A16" s="207"/>
      <c r="B16" s="244"/>
      <c r="C16" s="244"/>
      <c r="D16" s="244"/>
      <c r="E16" s="434"/>
      <c r="F16" s="434"/>
      <c r="G16" s="434"/>
      <c r="H16" s="232"/>
      <c r="I16" s="233"/>
      <c r="J16" s="233"/>
      <c r="K16" s="234"/>
      <c r="L16" s="372"/>
      <c r="M16" s="384"/>
    </row>
    <row r="17" spans="1:13" s="213" customFormat="1" x14ac:dyDescent="0.35">
      <c r="A17" s="207"/>
      <c r="B17" s="244"/>
      <c r="C17" s="244"/>
      <c r="D17" s="244"/>
      <c r="E17" s="251"/>
      <c r="F17" s="251"/>
      <c r="G17" s="251"/>
      <c r="H17" s="232"/>
      <c r="I17" s="233"/>
      <c r="J17" s="233"/>
      <c r="K17" s="234"/>
      <c r="L17" s="372"/>
      <c r="M17" s="384"/>
    </row>
    <row r="18" spans="1:13" s="213" customFormat="1" ht="16" thickBot="1" x14ac:dyDescent="0.4">
      <c r="A18" s="207"/>
      <c r="B18" s="246"/>
      <c r="C18" s="246"/>
      <c r="D18" s="246"/>
      <c r="E18" s="252"/>
      <c r="F18" s="252"/>
      <c r="G18" s="252"/>
      <c r="H18" s="238">
        <f>K14-SUM(I15:J16)</f>
        <v>20000</v>
      </c>
      <c r="I18" s="248"/>
      <c r="J18" s="249"/>
      <c r="K18" s="250"/>
      <c r="L18" s="373"/>
      <c r="M18" s="386"/>
    </row>
    <row r="19" spans="1:13" x14ac:dyDescent="0.35">
      <c r="A19" s="231" t="s">
        <v>304</v>
      </c>
      <c r="B19" s="224" t="s">
        <v>305</v>
      </c>
      <c r="C19" s="225" t="s">
        <v>495</v>
      </c>
      <c r="D19" s="225"/>
      <c r="E19" s="476"/>
      <c r="F19" s="476"/>
      <c r="G19" s="226"/>
      <c r="H19" s="241"/>
      <c r="I19" s="242"/>
      <c r="J19" s="242"/>
      <c r="K19" s="243">
        <v>5004</v>
      </c>
      <c r="L19" s="374"/>
      <c r="M19" s="387"/>
    </row>
    <row r="20" spans="1:13" x14ac:dyDescent="0.35">
      <c r="A20" s="244"/>
      <c r="B20" s="244"/>
      <c r="C20" s="244"/>
      <c r="D20" s="244"/>
      <c r="E20" s="363"/>
      <c r="F20" s="245"/>
      <c r="G20" s="245"/>
      <c r="H20" s="232"/>
      <c r="I20" s="108"/>
      <c r="J20" s="233"/>
      <c r="K20" s="234"/>
      <c r="L20" s="372"/>
      <c r="M20" s="384"/>
    </row>
    <row r="21" spans="1:13" x14ac:dyDescent="0.35">
      <c r="A21" s="244"/>
      <c r="B21" s="244"/>
      <c r="C21" s="244"/>
      <c r="D21" s="244"/>
      <c r="E21" s="147"/>
      <c r="F21" s="147"/>
      <c r="G21" s="147"/>
      <c r="H21" s="232"/>
      <c r="I21" s="233"/>
      <c r="J21" s="233"/>
      <c r="K21" s="234"/>
      <c r="L21" s="372"/>
      <c r="M21" s="384"/>
    </row>
    <row r="22" spans="1:13" x14ac:dyDescent="0.35">
      <c r="A22" s="244"/>
      <c r="B22" s="244"/>
      <c r="C22" s="244"/>
      <c r="D22" s="244"/>
      <c r="E22" s="235"/>
      <c r="F22" s="235"/>
      <c r="G22" s="235"/>
      <c r="H22" s="232"/>
      <c r="I22" s="233"/>
      <c r="J22" s="233"/>
      <c r="K22" s="234"/>
      <c r="L22" s="372"/>
      <c r="M22" s="384"/>
    </row>
    <row r="23" spans="1:13" ht="16" thickBot="1" x14ac:dyDescent="0.4">
      <c r="A23" s="244"/>
      <c r="B23" s="246"/>
      <c r="C23" s="246"/>
      <c r="D23" s="246"/>
      <c r="E23" s="247"/>
      <c r="F23" s="247"/>
      <c r="G23" s="247"/>
      <c r="H23" s="238">
        <f>K19-SUM(I20:J21)</f>
        <v>5004</v>
      </c>
      <c r="I23" s="248"/>
      <c r="J23" s="249"/>
      <c r="K23" s="250"/>
      <c r="L23" s="373"/>
      <c r="M23" s="386"/>
    </row>
    <row r="24" spans="1:13" x14ac:dyDescent="0.35">
      <c r="A24" s="231" t="s">
        <v>307</v>
      </c>
      <c r="B24" s="224" t="s">
        <v>496</v>
      </c>
      <c r="C24" s="225" t="s">
        <v>302</v>
      </c>
      <c r="D24" s="225"/>
      <c r="E24" s="476"/>
      <c r="F24" s="476"/>
      <c r="G24" s="226"/>
      <c r="H24" s="241"/>
      <c r="I24" s="242"/>
      <c r="J24" s="242"/>
      <c r="K24" s="243">
        <v>29677</v>
      </c>
      <c r="L24" s="374"/>
      <c r="M24" s="387"/>
    </row>
    <row r="25" spans="1:13" x14ac:dyDescent="0.35">
      <c r="A25" s="244"/>
      <c r="B25" s="253"/>
      <c r="C25" s="253"/>
      <c r="D25" s="253"/>
      <c r="E25" s="254"/>
      <c r="F25" s="254"/>
      <c r="G25" s="254"/>
      <c r="H25" s="255"/>
      <c r="I25" s="233"/>
      <c r="J25" s="233"/>
      <c r="K25" s="234"/>
      <c r="L25" s="372"/>
      <c r="M25" s="384"/>
    </row>
    <row r="26" spans="1:13" x14ac:dyDescent="0.35">
      <c r="A26" s="244"/>
      <c r="B26" s="253"/>
      <c r="C26" s="253"/>
      <c r="D26" s="253"/>
      <c r="E26" s="254"/>
      <c r="F26" s="254"/>
      <c r="G26" s="254"/>
      <c r="H26" s="255"/>
      <c r="I26" s="233"/>
      <c r="J26" s="280"/>
      <c r="K26" s="234"/>
      <c r="L26" s="372"/>
      <c r="M26" s="384"/>
    </row>
    <row r="27" spans="1:13" x14ac:dyDescent="0.35">
      <c r="A27" s="244"/>
      <c r="B27" s="253"/>
      <c r="C27" s="253"/>
      <c r="D27" s="253"/>
      <c r="E27" s="254"/>
      <c r="F27" s="254"/>
      <c r="G27" s="254"/>
      <c r="H27" s="256"/>
      <c r="I27" s="257"/>
      <c r="J27" s="280"/>
      <c r="K27" s="234"/>
      <c r="L27" s="376"/>
      <c r="M27" s="384"/>
    </row>
    <row r="28" spans="1:13" x14ac:dyDescent="0.35">
      <c r="A28" s="244"/>
      <c r="B28" s="253"/>
      <c r="C28" s="253"/>
      <c r="D28" s="253"/>
      <c r="E28" s="254"/>
      <c r="F28" s="254"/>
      <c r="G28" s="254"/>
      <c r="H28" s="255"/>
      <c r="I28" s="233"/>
      <c r="J28" s="280"/>
      <c r="K28" s="234"/>
      <c r="L28" s="372"/>
      <c r="M28" s="384"/>
    </row>
    <row r="29" spans="1:13" x14ac:dyDescent="0.35">
      <c r="A29" s="244"/>
      <c r="B29" s="253"/>
      <c r="C29" s="253"/>
      <c r="D29" s="253"/>
      <c r="E29" s="254"/>
      <c r="F29" s="254"/>
      <c r="G29" s="254"/>
      <c r="H29" s="259"/>
      <c r="I29" s="233"/>
      <c r="J29" s="280"/>
      <c r="K29" s="234"/>
      <c r="L29" s="372"/>
      <c r="M29" s="384"/>
    </row>
    <row r="30" spans="1:13" x14ac:dyDescent="0.35">
      <c r="A30" s="244"/>
      <c r="B30" s="253"/>
      <c r="C30" s="253"/>
      <c r="D30" s="253"/>
      <c r="E30" s="254"/>
      <c r="F30" s="254"/>
      <c r="G30" s="254"/>
      <c r="H30" s="259"/>
      <c r="I30" s="233"/>
      <c r="J30" s="280"/>
      <c r="K30" s="234"/>
      <c r="L30" s="372"/>
      <c r="M30" s="384"/>
    </row>
    <row r="31" spans="1:13" x14ac:dyDescent="0.35">
      <c r="A31" s="244"/>
      <c r="B31" s="253"/>
      <c r="C31" s="253"/>
      <c r="D31" s="253"/>
      <c r="E31" s="254"/>
      <c r="F31" s="254"/>
      <c r="G31" s="254"/>
      <c r="H31" s="259"/>
      <c r="I31" s="233"/>
      <c r="J31" s="280"/>
      <c r="K31" s="234"/>
      <c r="L31" s="372"/>
      <c r="M31" s="384"/>
    </row>
    <row r="32" spans="1:13" ht="16" thickBot="1" x14ac:dyDescent="0.4">
      <c r="A32" s="244"/>
      <c r="B32" s="246"/>
      <c r="C32" s="246"/>
      <c r="D32" s="246"/>
      <c r="E32" s="252"/>
      <c r="F32" s="252"/>
      <c r="G32" s="252"/>
      <c r="H32" s="238">
        <f>K24-SUM(H25:J31)</f>
        <v>29677</v>
      </c>
      <c r="I32" s="248"/>
      <c r="J32" s="249"/>
      <c r="K32" s="250"/>
      <c r="L32" s="373"/>
      <c r="M32" s="386"/>
    </row>
    <row r="33" spans="1:13" x14ac:dyDescent="0.35">
      <c r="A33" s="231" t="s">
        <v>308</v>
      </c>
      <c r="B33" s="224" t="s">
        <v>296</v>
      </c>
      <c r="C33" s="225"/>
      <c r="D33" s="225"/>
      <c r="E33" s="476"/>
      <c r="F33" s="476"/>
      <c r="G33" s="226"/>
      <c r="H33" s="241"/>
      <c r="I33" s="242"/>
      <c r="J33" s="242"/>
      <c r="K33" s="243">
        <v>71000</v>
      </c>
      <c r="L33" s="374"/>
      <c r="M33" s="387"/>
    </row>
    <row r="34" spans="1:13" x14ac:dyDescent="0.35">
      <c r="A34" s="231"/>
      <c r="B34" s="215"/>
      <c r="C34" s="215"/>
      <c r="D34" s="215"/>
      <c r="E34" s="363"/>
      <c r="F34" s="245"/>
      <c r="G34" s="245"/>
      <c r="H34" s="232"/>
      <c r="I34" s="260"/>
      <c r="J34" s="233"/>
      <c r="K34" s="234"/>
      <c r="L34" s="372"/>
      <c r="M34" s="384"/>
    </row>
    <row r="35" spans="1:13" x14ac:dyDescent="0.35">
      <c r="A35" s="231"/>
      <c r="B35" s="215"/>
      <c r="C35" s="215"/>
      <c r="D35" s="215"/>
      <c r="E35" s="363"/>
      <c r="F35" s="245"/>
      <c r="G35" s="245"/>
      <c r="H35" s="232"/>
      <c r="I35" s="260"/>
      <c r="J35" s="233"/>
      <c r="K35" s="234"/>
      <c r="L35" s="372"/>
      <c r="M35" s="384"/>
    </row>
    <row r="36" spans="1:13" x14ac:dyDescent="0.35">
      <c r="A36" s="231"/>
      <c r="B36" s="215"/>
      <c r="C36" s="215"/>
      <c r="D36" s="215"/>
      <c r="E36" s="363"/>
      <c r="F36" s="245"/>
      <c r="G36" s="245"/>
      <c r="H36" s="232"/>
      <c r="I36" s="260"/>
      <c r="J36" s="233"/>
      <c r="K36" s="234"/>
      <c r="L36" s="372"/>
      <c r="M36" s="384"/>
    </row>
    <row r="37" spans="1:13" x14ac:dyDescent="0.35">
      <c r="A37" s="231"/>
      <c r="B37" s="215"/>
      <c r="C37" s="215"/>
      <c r="D37" s="215"/>
      <c r="E37" s="363"/>
      <c r="F37" s="245"/>
      <c r="G37" s="245"/>
      <c r="H37" s="232"/>
      <c r="I37" s="233"/>
      <c r="J37" s="233"/>
      <c r="K37" s="234"/>
      <c r="L37" s="372"/>
      <c r="M37" s="384"/>
    </row>
    <row r="38" spans="1:13" x14ac:dyDescent="0.35">
      <c r="A38" s="231"/>
      <c r="B38" s="215"/>
      <c r="C38" s="215"/>
      <c r="D38" s="215"/>
      <c r="E38" s="363"/>
      <c r="F38" s="245"/>
      <c r="G38" s="245"/>
      <c r="H38" s="232"/>
      <c r="I38" s="260"/>
      <c r="J38" s="233"/>
      <c r="K38" s="234"/>
      <c r="L38" s="372"/>
      <c r="M38" s="384"/>
    </row>
    <row r="39" spans="1:13" x14ac:dyDescent="0.35">
      <c r="A39" s="231"/>
      <c r="B39" s="215"/>
      <c r="C39" s="215"/>
      <c r="D39" s="215"/>
      <c r="E39" s="363"/>
      <c r="F39" s="245"/>
      <c r="G39" s="245"/>
      <c r="H39" s="232"/>
      <c r="I39" s="260"/>
      <c r="J39" s="233"/>
      <c r="K39" s="234"/>
      <c r="L39" s="372"/>
      <c r="M39" s="384"/>
    </row>
    <row r="40" spans="1:13" x14ac:dyDescent="0.35">
      <c r="A40" s="231"/>
      <c r="B40" s="215"/>
      <c r="C40" s="215"/>
      <c r="D40" s="215"/>
      <c r="E40" s="363"/>
      <c r="F40" s="254"/>
      <c r="G40" s="254"/>
      <c r="H40" s="232"/>
      <c r="I40" s="261"/>
      <c r="J40" s="218"/>
      <c r="K40" s="234"/>
      <c r="L40" s="372"/>
      <c r="M40" s="384"/>
    </row>
    <row r="41" spans="1:13" x14ac:dyDescent="0.35">
      <c r="A41" s="231"/>
      <c r="B41" s="215"/>
      <c r="C41" s="215"/>
      <c r="D41" s="215"/>
      <c r="E41" s="363"/>
      <c r="F41" s="245"/>
      <c r="G41" s="245"/>
      <c r="H41" s="232"/>
      <c r="I41" s="260"/>
      <c r="J41" s="233"/>
      <c r="K41" s="234"/>
      <c r="L41" s="372"/>
      <c r="M41" s="384"/>
    </row>
    <row r="42" spans="1:13" x14ac:dyDescent="0.35">
      <c r="A42" s="231"/>
      <c r="B42" s="215"/>
      <c r="C42" s="215"/>
      <c r="D42" s="215"/>
      <c r="E42" s="363"/>
      <c r="F42" s="245"/>
      <c r="G42" s="245"/>
      <c r="H42" s="232"/>
      <c r="I42" s="218"/>
      <c r="J42" s="218"/>
      <c r="K42" s="234"/>
      <c r="L42" s="372"/>
      <c r="M42" s="384"/>
    </row>
    <row r="43" spans="1:13" x14ac:dyDescent="0.35">
      <c r="A43" s="231"/>
      <c r="B43" s="215"/>
      <c r="C43" s="215"/>
      <c r="D43" s="215"/>
      <c r="E43" s="363"/>
      <c r="F43" s="245"/>
      <c r="G43" s="245"/>
      <c r="H43" s="232"/>
      <c r="I43" s="260"/>
      <c r="J43" s="233"/>
      <c r="K43" s="234"/>
      <c r="L43" s="372"/>
      <c r="M43" s="384"/>
    </row>
    <row r="44" spans="1:13" x14ac:dyDescent="0.35">
      <c r="A44" s="231"/>
      <c r="B44" s="215"/>
      <c r="C44" s="215"/>
      <c r="D44" s="215"/>
      <c r="E44" s="363"/>
      <c r="F44" s="254"/>
      <c r="G44" s="254"/>
      <c r="H44" s="232"/>
      <c r="I44" s="233"/>
      <c r="J44" s="233"/>
      <c r="K44" s="234"/>
      <c r="L44" s="372"/>
      <c r="M44" s="384"/>
    </row>
    <row r="45" spans="1:13" x14ac:dyDescent="0.35">
      <c r="A45" s="231"/>
      <c r="B45" s="215"/>
      <c r="C45" s="215"/>
      <c r="D45" s="215"/>
      <c r="E45" s="363"/>
      <c r="F45" s="245"/>
      <c r="G45" s="245"/>
      <c r="H45" s="232"/>
      <c r="I45" s="260"/>
      <c r="J45" s="233"/>
      <c r="K45" s="234"/>
      <c r="L45" s="372"/>
      <c r="M45" s="384"/>
    </row>
    <row r="46" spans="1:13" x14ac:dyDescent="0.35">
      <c r="A46" s="231"/>
      <c r="B46" s="215"/>
      <c r="C46" s="215"/>
      <c r="D46" s="215"/>
      <c r="E46" s="363"/>
      <c r="F46" s="245"/>
      <c r="G46" s="245"/>
      <c r="H46" s="232"/>
      <c r="I46" s="233"/>
      <c r="J46" s="233"/>
      <c r="K46" s="234"/>
      <c r="L46" s="372"/>
      <c r="M46" s="384"/>
    </row>
    <row r="47" spans="1:13" x14ac:dyDescent="0.35">
      <c r="A47" s="231"/>
      <c r="B47" s="215"/>
      <c r="C47" s="215"/>
      <c r="D47" s="215"/>
      <c r="E47" s="363"/>
      <c r="F47" s="245"/>
      <c r="G47" s="245"/>
      <c r="H47" s="232"/>
      <c r="I47" s="233"/>
      <c r="J47" s="233"/>
      <c r="K47" s="234"/>
      <c r="L47" s="372"/>
      <c r="M47" s="384"/>
    </row>
    <row r="48" spans="1:13" x14ac:dyDescent="0.35">
      <c r="A48" s="231"/>
      <c r="B48" s="215"/>
      <c r="C48" s="215"/>
      <c r="D48" s="215"/>
      <c r="E48" s="363"/>
      <c r="F48" s="245"/>
      <c r="G48" s="245"/>
      <c r="H48" s="232"/>
      <c r="I48" s="218"/>
      <c r="J48" s="218"/>
      <c r="K48" s="234"/>
      <c r="L48" s="372"/>
      <c r="M48" s="384"/>
    </row>
    <row r="49" spans="1:13" x14ac:dyDescent="0.35">
      <c r="A49" s="231"/>
      <c r="B49" s="215"/>
      <c r="C49" s="215"/>
      <c r="D49" s="215"/>
      <c r="E49" s="363"/>
      <c r="F49" s="245"/>
      <c r="G49" s="245"/>
      <c r="H49" s="232"/>
      <c r="I49" s="233"/>
      <c r="J49" s="233"/>
      <c r="K49" s="234"/>
      <c r="L49" s="372"/>
      <c r="M49" s="384"/>
    </row>
    <row r="50" spans="1:13" x14ac:dyDescent="0.35">
      <c r="A50" s="231"/>
      <c r="B50" s="215"/>
      <c r="C50" s="215"/>
      <c r="D50" s="215"/>
      <c r="E50" s="363"/>
      <c r="F50" s="245"/>
      <c r="G50" s="245"/>
      <c r="H50" s="232"/>
      <c r="I50" s="260"/>
      <c r="J50" s="233"/>
      <c r="K50" s="234"/>
      <c r="L50" s="372"/>
      <c r="M50" s="384"/>
    </row>
    <row r="51" spans="1:13" x14ac:dyDescent="0.35">
      <c r="A51" s="231"/>
      <c r="B51" s="215"/>
      <c r="C51" s="215"/>
      <c r="D51" s="215"/>
      <c r="E51" s="363"/>
      <c r="F51" s="245"/>
      <c r="G51" s="245"/>
      <c r="H51" s="232"/>
      <c r="I51" s="260"/>
      <c r="J51" s="260"/>
      <c r="K51" s="234"/>
      <c r="L51" s="372"/>
      <c r="M51" s="384"/>
    </row>
    <row r="52" spans="1:13" x14ac:dyDescent="0.35">
      <c r="A52" s="231"/>
      <c r="B52" s="215"/>
      <c r="C52" s="215"/>
      <c r="D52" s="215"/>
      <c r="E52" s="363"/>
      <c r="F52" s="254"/>
      <c r="G52" s="254"/>
      <c r="H52" s="232"/>
      <c r="I52" s="262"/>
      <c r="J52" s="218"/>
      <c r="K52" s="234"/>
      <c r="L52" s="372"/>
      <c r="M52" s="384"/>
    </row>
    <row r="53" spans="1:13" x14ac:dyDescent="0.35">
      <c r="A53" s="231"/>
      <c r="B53" s="215"/>
      <c r="C53" s="215"/>
      <c r="D53" s="215"/>
      <c r="E53" s="363"/>
      <c r="F53" s="245"/>
      <c r="G53" s="245"/>
      <c r="H53" s="232"/>
      <c r="I53" s="260"/>
      <c r="J53" s="260"/>
      <c r="K53" s="234"/>
      <c r="L53" s="372"/>
      <c r="M53" s="384"/>
    </row>
    <row r="54" spans="1:13" x14ac:dyDescent="0.35">
      <c r="A54" s="231"/>
      <c r="B54" s="215"/>
      <c r="C54" s="215"/>
      <c r="D54" s="215"/>
      <c r="E54" s="363"/>
      <c r="F54" s="245"/>
      <c r="G54" s="245"/>
      <c r="H54" s="232"/>
      <c r="I54" s="260"/>
      <c r="J54" s="260"/>
      <c r="K54" s="234"/>
      <c r="L54" s="372"/>
      <c r="M54" s="384"/>
    </row>
    <row r="55" spans="1:13" x14ac:dyDescent="0.35">
      <c r="A55" s="231"/>
      <c r="B55" s="215"/>
      <c r="C55" s="215"/>
      <c r="D55" s="215"/>
      <c r="E55" s="363"/>
      <c r="F55" s="245"/>
      <c r="G55" s="245"/>
      <c r="H55" s="232"/>
      <c r="I55" s="260"/>
      <c r="J55" s="260"/>
      <c r="K55" s="234"/>
      <c r="L55" s="372"/>
      <c r="M55" s="384"/>
    </row>
    <row r="56" spans="1:13" x14ac:dyDescent="0.35">
      <c r="A56" s="231"/>
      <c r="B56" s="215"/>
      <c r="C56" s="215"/>
      <c r="D56" s="215"/>
      <c r="E56" s="363"/>
      <c r="F56" s="245"/>
      <c r="G56" s="245"/>
      <c r="I56" s="260"/>
      <c r="J56" s="260"/>
      <c r="K56" s="234"/>
      <c r="L56" s="372"/>
      <c r="M56" s="384"/>
    </row>
    <row r="57" spans="1:13" x14ac:dyDescent="0.35">
      <c r="A57" s="231"/>
      <c r="B57" s="215"/>
      <c r="C57" s="215"/>
      <c r="D57" s="215"/>
      <c r="E57" s="363"/>
      <c r="F57" s="245"/>
      <c r="G57" s="245"/>
      <c r="H57" s="232"/>
      <c r="I57" s="260"/>
      <c r="J57" s="260"/>
      <c r="K57" s="234"/>
      <c r="L57" s="372"/>
      <c r="M57" s="384"/>
    </row>
    <row r="58" spans="1:13" ht="16" thickBot="1" x14ac:dyDescent="0.4">
      <c r="A58" s="231"/>
      <c r="B58" s="237"/>
      <c r="C58" s="237"/>
      <c r="D58" s="237"/>
      <c r="E58" s="263"/>
      <c r="F58" s="264"/>
      <c r="G58" s="264"/>
      <c r="H58" s="238">
        <f>K33-SUM(I34:J57)</f>
        <v>71000</v>
      </c>
      <c r="I58" s="249"/>
      <c r="J58" s="249"/>
      <c r="K58" s="250"/>
      <c r="L58" s="373"/>
      <c r="M58" s="386"/>
    </row>
    <row r="59" spans="1:13" x14ac:dyDescent="0.35">
      <c r="A59" s="231"/>
      <c r="B59" s="224" t="s">
        <v>309</v>
      </c>
      <c r="C59" s="225" t="s">
        <v>495</v>
      </c>
      <c r="D59" s="225" t="s">
        <v>497</v>
      </c>
      <c r="E59" s="478"/>
      <c r="F59" s="479"/>
      <c r="G59" s="416"/>
      <c r="H59" s="241"/>
      <c r="I59" s="265"/>
      <c r="J59" s="242"/>
      <c r="K59" s="243">
        <v>8700</v>
      </c>
      <c r="L59" s="374"/>
      <c r="M59" s="388"/>
    </row>
    <row r="60" spans="1:13" x14ac:dyDescent="0.35">
      <c r="A60" s="231"/>
      <c r="B60" s="215"/>
      <c r="C60" s="215"/>
      <c r="D60" s="215"/>
      <c r="E60" s="363"/>
      <c r="F60" s="245"/>
      <c r="G60" s="245"/>
      <c r="H60" s="232"/>
      <c r="I60" s="109"/>
      <c r="J60" s="233"/>
      <c r="K60" s="234"/>
      <c r="L60" s="372"/>
      <c r="M60" s="384"/>
    </row>
    <row r="61" spans="1:13" x14ac:dyDescent="0.35">
      <c r="A61" s="231"/>
      <c r="B61" s="215"/>
      <c r="C61" s="215"/>
      <c r="D61" s="215"/>
      <c r="E61" s="363"/>
      <c r="F61" s="245"/>
      <c r="G61" s="245"/>
      <c r="H61" s="232"/>
      <c r="I61" s="109"/>
      <c r="J61" s="233"/>
      <c r="K61" s="234"/>
      <c r="L61" s="372"/>
      <c r="M61" s="384"/>
    </row>
    <row r="62" spans="1:13" x14ac:dyDescent="0.35">
      <c r="A62" s="231"/>
      <c r="B62" s="215"/>
      <c r="C62" s="215"/>
      <c r="D62" s="215"/>
      <c r="E62" s="363"/>
      <c r="F62" s="245"/>
      <c r="G62" s="245"/>
      <c r="H62" s="232"/>
      <c r="I62" s="109"/>
      <c r="J62" s="233"/>
      <c r="K62" s="234"/>
      <c r="L62" s="372"/>
      <c r="M62" s="384"/>
    </row>
    <row r="63" spans="1:13" x14ac:dyDescent="0.35">
      <c r="A63" s="231"/>
      <c r="B63" s="215"/>
      <c r="C63" s="215"/>
      <c r="D63" s="215"/>
      <c r="E63" s="363"/>
      <c r="F63" s="245"/>
      <c r="G63" s="245"/>
      <c r="H63" s="232"/>
      <c r="I63" s="109"/>
      <c r="J63" s="233"/>
      <c r="K63" s="234"/>
      <c r="L63" s="372"/>
      <c r="M63" s="384"/>
    </row>
    <row r="64" spans="1:13" x14ac:dyDescent="0.35">
      <c r="A64" s="231"/>
      <c r="B64" s="215"/>
      <c r="C64" s="215"/>
      <c r="D64" s="215"/>
      <c r="E64" s="363"/>
      <c r="F64" s="245"/>
      <c r="G64" s="245"/>
      <c r="H64" s="232"/>
      <c r="I64" s="109"/>
      <c r="J64" s="233"/>
      <c r="K64" s="234"/>
      <c r="L64" s="372"/>
      <c r="M64" s="384"/>
    </row>
    <row r="65" spans="1:17" ht="16" thickBot="1" x14ac:dyDescent="0.4">
      <c r="A65" s="231"/>
      <c r="B65" s="237"/>
      <c r="C65" s="237"/>
      <c r="D65" s="237"/>
      <c r="E65" s="263"/>
      <c r="F65" s="264"/>
      <c r="G65" s="264"/>
      <c r="H65" s="238">
        <f>K59-SUM(I60:J64)</f>
        <v>8700</v>
      </c>
      <c r="I65" s="248"/>
      <c r="J65" s="249"/>
      <c r="K65" s="250"/>
      <c r="L65" s="373"/>
      <c r="M65" s="386"/>
    </row>
    <row r="66" spans="1:17" x14ac:dyDescent="0.35">
      <c r="A66" s="231"/>
      <c r="B66" s="266" t="s">
        <v>297</v>
      </c>
      <c r="C66" s="267" t="s">
        <v>495</v>
      </c>
      <c r="D66" s="267" t="s">
        <v>497</v>
      </c>
      <c r="E66" s="482" t="s">
        <v>312</v>
      </c>
      <c r="F66" s="482"/>
      <c r="G66" s="413"/>
      <c r="H66" s="268"/>
      <c r="I66" s="229"/>
      <c r="J66" s="229"/>
      <c r="K66" s="228">
        <v>3780</v>
      </c>
      <c r="L66" s="374"/>
      <c r="M66" s="388"/>
    </row>
    <row r="67" spans="1:17" x14ac:dyDescent="0.35">
      <c r="A67" s="231"/>
      <c r="B67" s="269"/>
      <c r="C67" s="270"/>
      <c r="D67" s="270"/>
      <c r="E67" s="363"/>
      <c r="F67" s="245"/>
      <c r="G67" s="197"/>
      <c r="I67" s="108"/>
      <c r="J67" s="261"/>
      <c r="L67" s="372"/>
      <c r="M67" s="384"/>
    </row>
    <row r="68" spans="1:17" ht="16" thickBot="1" x14ac:dyDescent="0.4">
      <c r="A68" s="231"/>
      <c r="B68" s="271"/>
      <c r="C68" s="271"/>
      <c r="D68" s="271"/>
      <c r="E68" s="297"/>
      <c r="F68" s="297"/>
      <c r="G68" s="272"/>
      <c r="H68" s="238">
        <f>K66-SUM(I67:J67)</f>
        <v>3780</v>
      </c>
      <c r="I68" s="248"/>
      <c r="J68" s="248"/>
      <c r="K68" s="273"/>
      <c r="L68" s="373"/>
      <c r="M68" s="386"/>
    </row>
    <row r="69" spans="1:17" x14ac:dyDescent="0.35">
      <c r="A69" s="231"/>
      <c r="B69" s="422"/>
      <c r="C69" s="422"/>
      <c r="D69" s="422"/>
      <c r="E69" s="311"/>
      <c r="F69" s="217"/>
      <c r="G69" s="431"/>
      <c r="H69" s="298"/>
      <c r="I69" s="299"/>
      <c r="J69" s="319"/>
      <c r="K69" s="425"/>
      <c r="L69" s="423"/>
      <c r="M69" s="424"/>
    </row>
    <row r="70" spans="1:17" x14ac:dyDescent="0.35">
      <c r="A70" s="231"/>
      <c r="B70" s="224" t="s">
        <v>310</v>
      </c>
      <c r="C70" s="225" t="s">
        <v>302</v>
      </c>
      <c r="D70" s="225" t="s">
        <v>497</v>
      </c>
      <c r="E70" s="476" t="s">
        <v>311</v>
      </c>
      <c r="F70" s="480"/>
      <c r="G70" s="414"/>
      <c r="H70" s="241"/>
      <c r="I70" s="265"/>
      <c r="J70" s="242"/>
      <c r="K70" s="243">
        <v>7280</v>
      </c>
      <c r="L70" s="374"/>
      <c r="M70" s="388"/>
    </row>
    <row r="71" spans="1:17" x14ac:dyDescent="0.35">
      <c r="A71" s="231"/>
      <c r="B71" s="215"/>
      <c r="C71" s="215"/>
      <c r="D71" s="215"/>
      <c r="E71" s="363"/>
      <c r="F71" s="245"/>
      <c r="G71" s="245"/>
      <c r="H71" s="232"/>
      <c r="I71" s="218"/>
      <c r="J71" s="233"/>
      <c r="K71" s="234"/>
      <c r="L71" s="372"/>
      <c r="M71" s="384"/>
    </row>
    <row r="72" spans="1:17" ht="16" thickBot="1" x14ac:dyDescent="0.4">
      <c r="A72" s="231"/>
      <c r="B72" s="237"/>
      <c r="C72" s="237"/>
      <c r="D72" s="237"/>
      <c r="E72" s="263"/>
      <c r="F72" s="264"/>
      <c r="G72" s="264"/>
      <c r="H72" s="238">
        <f>K70-SUM(I71:J71)</f>
        <v>7280</v>
      </c>
      <c r="I72" s="248"/>
      <c r="J72" s="249"/>
      <c r="K72" s="250"/>
      <c r="L72" s="373"/>
      <c r="M72" s="386"/>
    </row>
    <row r="73" spans="1:17" x14ac:dyDescent="0.35">
      <c r="A73" s="253"/>
      <c r="B73" s="266" t="s">
        <v>313</v>
      </c>
      <c r="C73" s="267"/>
      <c r="D73" s="267"/>
      <c r="E73" s="432">
        <v>1</v>
      </c>
      <c r="F73" s="297"/>
      <c r="G73" s="274"/>
      <c r="H73" s="275"/>
      <c r="I73" s="265"/>
      <c r="J73" s="265"/>
      <c r="K73" s="228">
        <v>0</v>
      </c>
      <c r="L73" s="374"/>
      <c r="M73" s="388"/>
    </row>
    <row r="74" spans="1:17" x14ac:dyDescent="0.35">
      <c r="A74" s="253"/>
      <c r="B74" s="270"/>
      <c r="C74" s="270"/>
      <c r="D74" s="270"/>
      <c r="E74" s="363"/>
      <c r="F74" s="254"/>
      <c r="G74" s="198"/>
      <c r="I74" s="218"/>
      <c r="J74" s="111"/>
      <c r="L74" s="372"/>
      <c r="M74" s="384"/>
    </row>
    <row r="75" spans="1:17" ht="16" thickBot="1" x14ac:dyDescent="0.4">
      <c r="A75" s="253"/>
      <c r="B75" s="271"/>
      <c r="C75" s="271"/>
      <c r="D75" s="271"/>
      <c r="E75" s="305"/>
      <c r="F75" s="305"/>
      <c r="G75" s="272"/>
      <c r="H75" s="238">
        <f>K73-SUM(I74:J74)</f>
        <v>0</v>
      </c>
      <c r="I75" s="248"/>
      <c r="J75" s="248"/>
      <c r="K75" s="273"/>
      <c r="L75" s="373"/>
      <c r="M75" s="386"/>
    </row>
    <row r="76" spans="1:17" x14ac:dyDescent="0.35">
      <c r="A76" s="253" t="s">
        <v>306</v>
      </c>
      <c r="B76" s="266" t="s">
        <v>314</v>
      </c>
      <c r="C76" s="267"/>
      <c r="D76" s="267"/>
      <c r="E76" s="481" t="s">
        <v>315</v>
      </c>
      <c r="F76" s="481"/>
      <c r="G76" s="415"/>
      <c r="H76" s="268"/>
      <c r="I76" s="265"/>
      <c r="J76" s="265"/>
      <c r="K76" s="228">
        <v>2500</v>
      </c>
      <c r="L76" s="374"/>
      <c r="M76" s="388"/>
    </row>
    <row r="77" spans="1:17" x14ac:dyDescent="0.35">
      <c r="A77" s="276"/>
      <c r="B77" s="253"/>
      <c r="C77" s="253"/>
      <c r="D77" s="253"/>
      <c r="E77" s="363"/>
      <c r="F77" s="245"/>
      <c r="G77" s="197"/>
      <c r="I77" s="218"/>
      <c r="J77" s="111"/>
      <c r="L77" s="372"/>
      <c r="M77" s="384"/>
    </row>
    <row r="78" spans="1:17" x14ac:dyDescent="0.35">
      <c r="A78" s="231"/>
      <c r="B78" s="277"/>
      <c r="C78" s="277"/>
      <c r="D78" s="277"/>
      <c r="E78" s="433"/>
      <c r="F78" s="433"/>
      <c r="G78" s="264"/>
      <c r="H78" s="238">
        <f>K76-SUM(I77:J77)</f>
        <v>2500</v>
      </c>
      <c r="I78" s="248"/>
      <c r="J78" s="249"/>
      <c r="K78" s="250"/>
      <c r="L78" s="373"/>
      <c r="M78" s="386"/>
    </row>
    <row r="79" spans="1:17" x14ac:dyDescent="0.35">
      <c r="A79" s="231" t="s">
        <v>316</v>
      </c>
      <c r="B79" s="224" t="s">
        <v>298</v>
      </c>
      <c r="C79" s="225"/>
      <c r="D79" s="225"/>
      <c r="E79" s="477"/>
      <c r="F79" s="477"/>
      <c r="G79" s="227"/>
      <c r="H79" s="241"/>
      <c r="I79" s="242"/>
      <c r="J79" s="242"/>
      <c r="K79" s="243">
        <v>40000</v>
      </c>
      <c r="L79" s="374"/>
      <c r="M79" s="388"/>
    </row>
    <row r="80" spans="1:17" x14ac:dyDescent="0.35">
      <c r="A80" s="231"/>
      <c r="B80" s="215"/>
      <c r="C80" s="215"/>
      <c r="D80" s="215"/>
      <c r="E80" s="363"/>
      <c r="F80" s="245"/>
      <c r="G80" s="245"/>
      <c r="H80" s="278"/>
      <c r="I80" s="260"/>
      <c r="J80" s="233"/>
      <c r="K80" s="279"/>
      <c r="L80" s="376"/>
      <c r="M80" s="384"/>
      <c r="N80" s="276"/>
      <c r="O80" s="276"/>
      <c r="P80" s="276"/>
      <c r="Q80" s="276"/>
    </row>
    <row r="81" spans="1:17" x14ac:dyDescent="0.35">
      <c r="A81" s="231"/>
      <c r="B81" s="215"/>
      <c r="C81" s="215"/>
      <c r="D81" s="215"/>
      <c r="E81" s="363"/>
      <c r="F81" s="254"/>
      <c r="G81" s="254"/>
      <c r="H81" s="259"/>
      <c r="I81" s="262"/>
      <c r="J81" s="218"/>
      <c r="K81" s="279"/>
      <c r="L81" s="376"/>
      <c r="M81" s="384"/>
      <c r="N81" s="276"/>
      <c r="O81" s="276"/>
      <c r="P81" s="276"/>
      <c r="Q81" s="276"/>
    </row>
    <row r="82" spans="1:17" x14ac:dyDescent="0.35">
      <c r="A82" s="231"/>
      <c r="B82" s="215"/>
      <c r="C82" s="215"/>
      <c r="D82" s="215"/>
      <c r="E82" s="363"/>
      <c r="F82" s="245"/>
      <c r="G82" s="245"/>
      <c r="H82" s="259"/>
      <c r="I82" s="233"/>
      <c r="J82" s="233"/>
      <c r="K82" s="279"/>
      <c r="L82" s="376"/>
      <c r="M82" s="384"/>
      <c r="N82" s="276"/>
      <c r="O82" s="276"/>
      <c r="P82" s="276"/>
      <c r="Q82" s="276"/>
    </row>
    <row r="83" spans="1:17" x14ac:dyDescent="0.35">
      <c r="A83" s="231"/>
      <c r="B83" s="215"/>
      <c r="C83" s="215"/>
      <c r="D83" s="215"/>
      <c r="E83" s="363"/>
      <c r="F83" s="254"/>
      <c r="G83" s="254"/>
      <c r="H83" s="259"/>
      <c r="I83" s="261"/>
      <c r="J83" s="218"/>
      <c r="K83" s="279"/>
      <c r="L83" s="376"/>
      <c r="M83" s="384"/>
      <c r="N83" s="276"/>
      <c r="O83" s="276"/>
      <c r="P83" s="276"/>
      <c r="Q83" s="276"/>
    </row>
    <row r="84" spans="1:17" x14ac:dyDescent="0.35">
      <c r="A84" s="231"/>
      <c r="B84" s="215"/>
      <c r="C84" s="215"/>
      <c r="D84" s="215"/>
      <c r="E84" s="363"/>
      <c r="F84" s="245"/>
      <c r="G84" s="245"/>
      <c r="H84" s="259"/>
      <c r="I84" s="233"/>
      <c r="J84" s="280"/>
      <c r="K84" s="279"/>
      <c r="L84" s="376"/>
      <c r="M84" s="384"/>
      <c r="N84" s="276"/>
      <c r="O84" s="276"/>
      <c r="P84" s="276"/>
      <c r="Q84" s="276"/>
    </row>
    <row r="85" spans="1:17" x14ac:dyDescent="0.35">
      <c r="A85" s="231"/>
      <c r="B85" s="215"/>
      <c r="C85" s="215"/>
      <c r="D85" s="215"/>
      <c r="E85" s="363"/>
      <c r="F85" s="254"/>
      <c r="G85" s="254"/>
      <c r="H85" s="259"/>
      <c r="I85" s="233"/>
      <c r="J85" s="280"/>
      <c r="K85" s="279"/>
      <c r="L85" s="376"/>
      <c r="M85" s="384"/>
      <c r="N85" s="276"/>
      <c r="O85" s="276"/>
      <c r="P85" s="276"/>
      <c r="Q85" s="276"/>
    </row>
    <row r="86" spans="1:17" x14ac:dyDescent="0.35">
      <c r="A86" s="231"/>
      <c r="B86" s="215"/>
      <c r="C86" s="215"/>
      <c r="D86" s="215"/>
      <c r="E86" s="363"/>
      <c r="F86" s="254"/>
      <c r="G86" s="254"/>
      <c r="H86" s="259"/>
      <c r="I86" s="233"/>
      <c r="J86" s="280"/>
      <c r="K86" s="279"/>
      <c r="L86" s="376"/>
      <c r="M86" s="384"/>
      <c r="N86" s="276"/>
      <c r="O86" s="276"/>
      <c r="P86" s="276"/>
      <c r="Q86" s="276"/>
    </row>
    <row r="87" spans="1:17" x14ac:dyDescent="0.35">
      <c r="A87" s="231"/>
      <c r="B87" s="215"/>
      <c r="C87" s="215"/>
      <c r="E87" s="363"/>
      <c r="F87" s="254"/>
      <c r="G87" s="254"/>
      <c r="H87" s="259"/>
      <c r="I87" s="218"/>
      <c r="J87" s="218"/>
      <c r="K87" s="279"/>
      <c r="L87" s="376"/>
      <c r="M87" s="384"/>
      <c r="N87" s="276"/>
      <c r="O87" s="276"/>
      <c r="P87" s="276"/>
      <c r="Q87" s="276"/>
    </row>
    <row r="88" spans="1:17" x14ac:dyDescent="0.35">
      <c r="A88" s="231"/>
      <c r="B88" s="215"/>
      <c r="C88" s="215"/>
      <c r="D88" s="215"/>
      <c r="E88" s="363"/>
      <c r="F88" s="254"/>
      <c r="G88" s="254"/>
      <c r="H88" s="259"/>
      <c r="I88" s="233"/>
      <c r="J88" s="280"/>
      <c r="K88" s="279"/>
      <c r="L88" s="376"/>
      <c r="M88" s="384"/>
      <c r="N88" s="276"/>
      <c r="O88" s="276"/>
      <c r="P88" s="276"/>
      <c r="Q88" s="276"/>
    </row>
    <row r="89" spans="1:17" x14ac:dyDescent="0.35">
      <c r="A89" s="231"/>
      <c r="B89" s="215"/>
      <c r="C89" s="215"/>
      <c r="D89" s="215"/>
      <c r="E89" s="363"/>
      <c r="F89" s="245"/>
      <c r="G89" s="245"/>
      <c r="H89" s="282"/>
      <c r="I89" s="233"/>
      <c r="J89" s="280"/>
      <c r="K89" s="279"/>
      <c r="L89" s="376"/>
      <c r="M89" s="384"/>
      <c r="N89" s="276"/>
      <c r="O89" s="276"/>
      <c r="P89" s="276"/>
      <c r="Q89" s="276"/>
    </row>
    <row r="90" spans="1:17" x14ac:dyDescent="0.35">
      <c r="A90" s="231"/>
      <c r="B90" s="215"/>
      <c r="C90" s="215"/>
      <c r="D90" s="215"/>
      <c r="E90" s="363"/>
      <c r="F90" s="254"/>
      <c r="G90" s="254"/>
      <c r="H90" s="259"/>
      <c r="I90" s="218"/>
      <c r="J90" s="280"/>
      <c r="K90" s="279"/>
      <c r="L90" s="376"/>
      <c r="M90" s="384"/>
      <c r="N90" s="276"/>
      <c r="O90" s="276"/>
      <c r="P90" s="276"/>
      <c r="Q90" s="276"/>
    </row>
    <row r="91" spans="1:17" x14ac:dyDescent="0.35">
      <c r="A91" s="231"/>
      <c r="B91" s="215"/>
      <c r="C91" s="215"/>
      <c r="D91" s="215"/>
      <c r="E91" s="363"/>
      <c r="F91" s="245"/>
      <c r="G91" s="245"/>
      <c r="H91" s="259"/>
      <c r="I91" s="260"/>
      <c r="J91" s="283"/>
      <c r="K91" s="279"/>
      <c r="L91" s="376"/>
      <c r="M91" s="384"/>
      <c r="N91" s="276"/>
      <c r="O91" s="276"/>
      <c r="P91" s="276"/>
      <c r="Q91" s="276"/>
    </row>
    <row r="92" spans="1:17" x14ac:dyDescent="0.35">
      <c r="A92" s="231"/>
      <c r="B92" s="215"/>
      <c r="C92" s="215"/>
      <c r="D92" s="215"/>
      <c r="E92" s="363"/>
      <c r="F92" s="245"/>
      <c r="G92" s="245"/>
      <c r="H92" s="259"/>
      <c r="I92" s="260"/>
      <c r="J92" s="260"/>
      <c r="K92" s="279"/>
      <c r="L92" s="376"/>
      <c r="M92" s="384"/>
      <c r="N92" s="276"/>
      <c r="O92" s="276"/>
      <c r="P92" s="276"/>
      <c r="Q92" s="276"/>
    </row>
    <row r="93" spans="1:17" x14ac:dyDescent="0.35">
      <c r="A93" s="231"/>
      <c r="B93" s="215"/>
      <c r="C93" s="215"/>
      <c r="D93" s="215"/>
      <c r="E93" s="363"/>
      <c r="F93" s="254"/>
      <c r="G93" s="254"/>
      <c r="H93" s="259"/>
      <c r="I93" s="261"/>
      <c r="J93" s="218"/>
      <c r="K93" s="279"/>
      <c r="L93" s="376"/>
      <c r="M93" s="384"/>
      <c r="N93" s="276"/>
      <c r="O93" s="276"/>
      <c r="P93" s="276"/>
      <c r="Q93" s="276"/>
    </row>
    <row r="94" spans="1:17" x14ac:dyDescent="0.35">
      <c r="A94" s="231"/>
      <c r="B94" s="215"/>
      <c r="C94" s="215"/>
      <c r="D94" s="215"/>
      <c r="E94" s="363"/>
      <c r="F94" s="254"/>
      <c r="G94" s="254"/>
      <c r="H94" s="259"/>
      <c r="I94" s="284"/>
      <c r="J94" s="262"/>
      <c r="K94" s="279"/>
      <c r="L94" s="376"/>
      <c r="M94" s="384"/>
      <c r="N94" s="276"/>
      <c r="O94" s="276"/>
      <c r="P94" s="276"/>
      <c r="Q94" s="276"/>
    </row>
    <row r="95" spans="1:17" x14ac:dyDescent="0.35">
      <c r="A95" s="231"/>
      <c r="B95" s="215"/>
      <c r="C95" s="215"/>
      <c r="D95" s="215"/>
      <c r="E95" s="363"/>
      <c r="F95" s="254"/>
      <c r="G95" s="254"/>
      <c r="H95" s="259"/>
      <c r="I95" s="262"/>
      <c r="J95" s="218"/>
      <c r="K95" s="279"/>
      <c r="L95" s="376"/>
      <c r="M95" s="384"/>
      <c r="N95" s="276"/>
      <c r="O95" s="276"/>
      <c r="P95" s="276"/>
      <c r="Q95" s="276"/>
    </row>
    <row r="96" spans="1:17" x14ac:dyDescent="0.35">
      <c r="A96" s="231"/>
      <c r="B96" s="215"/>
      <c r="C96" s="215"/>
      <c r="D96" s="215"/>
      <c r="E96" s="363"/>
      <c r="F96" s="254"/>
      <c r="G96" s="254"/>
      <c r="H96" s="259"/>
      <c r="I96" s="262"/>
      <c r="J96" s="218"/>
      <c r="K96" s="279"/>
      <c r="L96" s="376"/>
      <c r="M96" s="384"/>
      <c r="N96" s="276"/>
      <c r="O96" s="276"/>
      <c r="P96" s="276"/>
      <c r="Q96" s="276"/>
    </row>
    <row r="97" spans="1:14" ht="16" thickBot="1" x14ac:dyDescent="0.4">
      <c r="A97" s="231"/>
      <c r="B97" s="277"/>
      <c r="C97" s="277"/>
      <c r="D97" s="277"/>
      <c r="E97" s="264"/>
      <c r="F97" s="264"/>
      <c r="G97" s="264"/>
      <c r="H97" s="238">
        <f>K79-SUM(I80:J96)</f>
        <v>40000</v>
      </c>
      <c r="I97" s="248"/>
      <c r="J97" s="249"/>
      <c r="K97" s="250"/>
      <c r="L97" s="373"/>
      <c r="M97" s="386"/>
    </row>
    <row r="98" spans="1:14" x14ac:dyDescent="0.35">
      <c r="A98" s="231" t="s">
        <v>306</v>
      </c>
      <c r="B98" s="224" t="s">
        <v>317</v>
      </c>
      <c r="C98" s="225" t="s">
        <v>495</v>
      </c>
      <c r="D98" s="225"/>
      <c r="E98" s="473" t="s">
        <v>539</v>
      </c>
      <c r="F98" s="474"/>
      <c r="G98" s="412"/>
      <c r="H98" s="241"/>
      <c r="I98" s="242"/>
      <c r="J98" s="242"/>
      <c r="K98" s="285">
        <v>1500</v>
      </c>
      <c r="L98" s="374"/>
      <c r="M98" s="388"/>
    </row>
    <row r="99" spans="1:14" x14ac:dyDescent="0.35">
      <c r="A99" s="231"/>
      <c r="B99" s="231"/>
      <c r="C99" s="231"/>
      <c r="D99" s="231"/>
      <c r="E99" s="363"/>
      <c r="F99" s="245"/>
      <c r="G99" s="245"/>
      <c r="H99" s="232"/>
      <c r="I99" s="233"/>
      <c r="J99" s="233"/>
      <c r="K99" s="234"/>
      <c r="L99" s="372"/>
      <c r="M99" s="384"/>
    </row>
    <row r="100" spans="1:14" x14ac:dyDescent="0.35">
      <c r="A100" s="231"/>
      <c r="B100" s="231"/>
      <c r="C100" s="231"/>
      <c r="D100" s="231"/>
      <c r="E100" s="363"/>
      <c r="F100" s="245"/>
      <c r="G100" s="245"/>
      <c r="H100" s="232"/>
      <c r="I100" s="233"/>
      <c r="J100" s="233"/>
      <c r="K100" s="234"/>
      <c r="L100" s="372"/>
      <c r="M100" s="384"/>
    </row>
    <row r="101" spans="1:14" x14ac:dyDescent="0.35">
      <c r="A101" s="231"/>
      <c r="B101" s="231"/>
      <c r="C101" s="231"/>
      <c r="D101" s="231"/>
      <c r="E101" s="363"/>
      <c r="F101" s="245"/>
      <c r="G101" s="245"/>
      <c r="H101" s="232"/>
      <c r="I101" s="218"/>
      <c r="J101" s="233"/>
      <c r="K101" s="234"/>
      <c r="L101" s="372"/>
      <c r="M101" s="384"/>
    </row>
    <row r="102" spans="1:14" ht="16" thickBot="1" x14ac:dyDescent="0.4">
      <c r="A102" s="231"/>
      <c r="B102" s="286"/>
      <c r="C102" s="286"/>
      <c r="D102" s="286"/>
      <c r="E102" s="264"/>
      <c r="F102" s="264"/>
      <c r="G102" s="264"/>
      <c r="H102" s="238">
        <f>K98-SUM(I99:J101)</f>
        <v>1500</v>
      </c>
      <c r="I102" s="248"/>
      <c r="J102" s="249"/>
      <c r="K102" s="250"/>
      <c r="L102" s="373"/>
      <c r="M102" s="386"/>
    </row>
    <row r="103" spans="1:14" x14ac:dyDescent="0.35">
      <c r="A103" s="231"/>
      <c r="B103" s="287" t="s">
        <v>318</v>
      </c>
      <c r="C103" s="287" t="s">
        <v>495</v>
      </c>
      <c r="D103" s="287"/>
      <c r="E103" s="473" t="s">
        <v>319</v>
      </c>
      <c r="F103" s="474"/>
      <c r="G103" s="412"/>
      <c r="H103" s="241"/>
      <c r="I103" s="265"/>
      <c r="J103" s="242"/>
      <c r="K103" s="243">
        <v>5000</v>
      </c>
      <c r="L103" s="374"/>
      <c r="M103" s="388"/>
    </row>
    <row r="104" spans="1:14" x14ac:dyDescent="0.35">
      <c r="A104" s="231"/>
      <c r="B104" s="288"/>
      <c r="C104" s="288"/>
      <c r="D104" s="288"/>
      <c r="E104" s="362"/>
      <c r="F104" s="197"/>
      <c r="G104" s="197"/>
      <c r="I104" s="218"/>
      <c r="J104" s="111"/>
      <c r="K104" s="234"/>
      <c r="L104" s="372"/>
      <c r="M104" s="384"/>
    </row>
    <row r="105" spans="1:14" ht="16" thickBot="1" x14ac:dyDescent="0.4">
      <c r="A105" s="231"/>
      <c r="B105" s="286"/>
      <c r="C105" s="286"/>
      <c r="D105" s="286"/>
      <c r="E105" s="264"/>
      <c r="F105" s="264"/>
      <c r="G105" s="264"/>
      <c r="H105" s="238">
        <f>K103-SUM(I104:J104)</f>
        <v>5000</v>
      </c>
      <c r="I105" s="248"/>
      <c r="J105" s="249"/>
      <c r="K105" s="250"/>
      <c r="L105" s="373"/>
      <c r="M105" s="386"/>
    </row>
    <row r="106" spans="1:14" ht="33" customHeight="1" x14ac:dyDescent="0.35">
      <c r="A106" s="231"/>
      <c r="B106" s="224" t="s">
        <v>320</v>
      </c>
      <c r="C106" s="225" t="s">
        <v>498</v>
      </c>
      <c r="D106" s="225" t="s">
        <v>497</v>
      </c>
      <c r="E106" s="476" t="s">
        <v>499</v>
      </c>
      <c r="F106" s="484"/>
      <c r="G106" s="413"/>
      <c r="H106" s="241"/>
      <c r="I106" s="265"/>
      <c r="J106" s="242"/>
      <c r="K106" s="243">
        <v>15000</v>
      </c>
      <c r="L106" s="374"/>
      <c r="M106" s="388"/>
    </row>
    <row r="107" spans="1:14" x14ac:dyDescent="0.35">
      <c r="A107" s="231"/>
      <c r="B107" s="215"/>
      <c r="C107" s="215"/>
      <c r="D107" s="215"/>
      <c r="E107" s="362"/>
      <c r="F107" s="197"/>
      <c r="G107" s="197"/>
      <c r="H107" s="232"/>
      <c r="I107" s="218"/>
      <c r="J107" s="233"/>
      <c r="K107" s="234"/>
      <c r="L107" s="372"/>
      <c r="M107" s="384"/>
    </row>
    <row r="108" spans="1:14" x14ac:dyDescent="0.35">
      <c r="A108" s="231"/>
      <c r="B108" s="215"/>
      <c r="C108" s="215"/>
      <c r="D108" s="215"/>
      <c r="E108" s="362"/>
      <c r="F108" s="197"/>
      <c r="G108" s="197"/>
      <c r="H108" s="232"/>
      <c r="I108" s="218"/>
      <c r="J108" s="233"/>
      <c r="K108" s="234"/>
      <c r="L108" s="372"/>
      <c r="M108" s="384"/>
    </row>
    <row r="109" spans="1:14" ht="16" thickBot="1" x14ac:dyDescent="0.4">
      <c r="A109" s="231"/>
      <c r="B109" s="277"/>
      <c r="C109" s="277"/>
      <c r="D109" s="277"/>
      <c r="E109" s="264"/>
      <c r="F109" s="264"/>
      <c r="G109" s="264"/>
      <c r="H109" s="238">
        <f>K106-SUM(I107:J108)</f>
        <v>15000</v>
      </c>
      <c r="I109" s="248"/>
      <c r="J109" s="249"/>
      <c r="K109" s="250"/>
      <c r="L109" s="373"/>
      <c r="M109" s="386"/>
    </row>
    <row r="110" spans="1:14" x14ac:dyDescent="0.35">
      <c r="A110" s="231"/>
      <c r="B110" s="224" t="s">
        <v>65</v>
      </c>
      <c r="C110" s="225"/>
      <c r="D110" s="225"/>
      <c r="E110" s="477"/>
      <c r="F110" s="477"/>
      <c r="G110" s="227"/>
      <c r="H110" s="241"/>
      <c r="I110" s="242"/>
      <c r="J110" s="242"/>
      <c r="K110" s="243">
        <v>22604</v>
      </c>
      <c r="L110" s="377"/>
      <c r="M110" s="388"/>
    </row>
    <row r="111" spans="1:14" x14ac:dyDescent="0.35">
      <c r="A111" s="231"/>
      <c r="B111" s="215"/>
      <c r="C111" s="215"/>
      <c r="D111" s="215"/>
      <c r="E111" s="363"/>
      <c r="F111" s="245"/>
      <c r="G111" s="245"/>
      <c r="H111" s="259"/>
      <c r="I111" s="233"/>
      <c r="J111" s="289"/>
      <c r="K111" s="279"/>
      <c r="L111" s="378"/>
      <c r="M111" s="384"/>
      <c r="N111" s="276"/>
    </row>
    <row r="112" spans="1:14" x14ac:dyDescent="0.35">
      <c r="A112" s="231"/>
      <c r="B112" s="215"/>
      <c r="C112" s="215"/>
      <c r="D112" s="215"/>
      <c r="E112" s="363"/>
      <c r="F112" s="254"/>
      <c r="G112" s="254"/>
      <c r="H112" s="259"/>
      <c r="I112" s="233"/>
      <c r="J112" s="290"/>
      <c r="K112" s="279"/>
      <c r="L112" s="378"/>
      <c r="M112" s="384"/>
      <c r="N112" s="276"/>
    </row>
    <row r="113" spans="1:15" x14ac:dyDescent="0.35">
      <c r="A113" s="231"/>
      <c r="B113" s="215"/>
      <c r="C113" s="215"/>
      <c r="D113" s="215"/>
      <c r="E113" s="363"/>
      <c r="F113" s="254"/>
      <c r="G113" s="254"/>
      <c r="H113" s="259"/>
      <c r="I113" s="233"/>
      <c r="J113" s="290"/>
      <c r="K113" s="279"/>
      <c r="L113" s="378"/>
      <c r="M113" s="384"/>
      <c r="N113" s="276"/>
    </row>
    <row r="114" spans="1:15" x14ac:dyDescent="0.35">
      <c r="A114" s="231"/>
      <c r="B114" s="215"/>
      <c r="C114" s="215"/>
      <c r="D114" s="215"/>
      <c r="E114" s="363"/>
      <c r="F114" s="245"/>
      <c r="G114" s="245"/>
      <c r="H114" s="259"/>
      <c r="I114" s="233"/>
      <c r="J114" s="233"/>
      <c r="K114" s="279"/>
      <c r="L114" s="378"/>
      <c r="M114" s="384"/>
      <c r="N114" s="276"/>
    </row>
    <row r="115" spans="1:15" x14ac:dyDescent="0.35">
      <c r="A115" s="231"/>
      <c r="B115" s="215"/>
      <c r="C115" s="215"/>
      <c r="D115" s="215"/>
      <c r="E115" s="363"/>
      <c r="F115" s="245"/>
      <c r="G115" s="245"/>
      <c r="H115" s="259"/>
      <c r="I115" s="233"/>
      <c r="J115" s="233"/>
      <c r="K115" s="279"/>
      <c r="L115" s="378"/>
      <c r="M115" s="384"/>
      <c r="N115" s="276"/>
    </row>
    <row r="116" spans="1:15" ht="16" thickBot="1" x14ac:dyDescent="0.4">
      <c r="A116" s="244"/>
      <c r="B116" s="277"/>
      <c r="C116" s="277"/>
      <c r="D116" s="277"/>
      <c r="E116" s="264"/>
      <c r="F116" s="264"/>
      <c r="G116" s="264"/>
      <c r="H116" s="238">
        <f>K110-SUM(I111:J115)</f>
        <v>22604</v>
      </c>
      <c r="I116" s="248"/>
      <c r="J116" s="249"/>
      <c r="K116" s="250"/>
      <c r="L116" s="373"/>
      <c r="M116" s="386"/>
    </row>
    <row r="117" spans="1:15" x14ac:dyDescent="0.35">
      <c r="A117" s="244"/>
      <c r="B117" s="224" t="s">
        <v>321</v>
      </c>
      <c r="C117" s="225" t="s">
        <v>302</v>
      </c>
      <c r="D117" s="225" t="s">
        <v>497</v>
      </c>
      <c r="E117" s="476" t="s">
        <v>500</v>
      </c>
      <c r="F117" s="476"/>
      <c r="G117" s="226"/>
      <c r="H117" s="268"/>
      <c r="I117" s="265"/>
      <c r="J117" s="265"/>
      <c r="K117" s="228">
        <v>34991</v>
      </c>
      <c r="L117" s="374"/>
      <c r="M117" s="388"/>
    </row>
    <row r="118" spans="1:15" x14ac:dyDescent="0.35">
      <c r="A118" s="244"/>
      <c r="B118" s="244"/>
      <c r="C118" s="244"/>
      <c r="D118" s="244"/>
      <c r="E118" s="363"/>
      <c r="F118" s="197"/>
      <c r="G118" s="245"/>
      <c r="H118" s="255"/>
      <c r="I118" s="218"/>
      <c r="J118" s="292"/>
      <c r="K118" s="258"/>
      <c r="L118" s="376"/>
      <c r="M118" s="384"/>
      <c r="N118" s="276"/>
      <c r="O118" s="276"/>
    </row>
    <row r="119" spans="1:15" x14ac:dyDescent="0.35">
      <c r="A119" s="244"/>
      <c r="B119" s="244"/>
      <c r="C119" s="244"/>
      <c r="D119" s="244"/>
      <c r="E119" s="363"/>
      <c r="F119" s="197"/>
      <c r="G119" s="245"/>
      <c r="H119" s="255"/>
      <c r="I119" s="218"/>
      <c r="J119" s="292"/>
      <c r="K119" s="258"/>
      <c r="L119" s="376"/>
      <c r="M119" s="384"/>
      <c r="N119" s="276"/>
      <c r="O119" s="276"/>
    </row>
    <row r="120" spans="1:15" x14ac:dyDescent="0.35">
      <c r="A120" s="244"/>
      <c r="B120" s="244"/>
      <c r="C120" s="244"/>
      <c r="D120" s="244"/>
      <c r="E120" s="363"/>
      <c r="F120" s="197"/>
      <c r="G120" s="245"/>
      <c r="H120" s="255"/>
      <c r="I120" s="218"/>
      <c r="J120" s="292"/>
      <c r="K120" s="258"/>
      <c r="L120" s="376"/>
      <c r="M120" s="384"/>
      <c r="N120" s="276"/>
      <c r="O120" s="276"/>
    </row>
    <row r="121" spans="1:15" x14ac:dyDescent="0.35">
      <c r="A121" s="244"/>
      <c r="B121" s="244"/>
      <c r="C121" s="244"/>
      <c r="D121" s="244"/>
      <c r="E121" s="363"/>
      <c r="F121" s="197"/>
      <c r="G121" s="245"/>
      <c r="H121" s="291"/>
      <c r="I121" s="218"/>
      <c r="J121" s="292"/>
      <c r="K121" s="258"/>
      <c r="L121" s="376"/>
      <c r="M121" s="384"/>
      <c r="N121" s="276"/>
      <c r="O121" s="276"/>
    </row>
    <row r="122" spans="1:15" x14ac:dyDescent="0.35">
      <c r="A122" s="244"/>
      <c r="B122" s="244"/>
      <c r="C122" s="244"/>
      <c r="D122" s="244"/>
      <c r="E122" s="363"/>
      <c r="F122" s="426"/>
      <c r="G122" s="245"/>
      <c r="H122" s="255"/>
      <c r="I122" s="218"/>
      <c r="J122" s="292"/>
      <c r="K122" s="258"/>
      <c r="L122" s="376"/>
      <c r="M122" s="384"/>
      <c r="N122" s="276"/>
      <c r="O122" s="276"/>
    </row>
    <row r="123" spans="1:15" x14ac:dyDescent="0.35">
      <c r="A123" s="244"/>
      <c r="B123" s="244"/>
      <c r="C123" s="244"/>
      <c r="D123" s="244"/>
      <c r="E123" s="363"/>
      <c r="F123" s="364"/>
      <c r="G123" s="364"/>
      <c r="H123" s="255"/>
      <c r="I123" s="218"/>
      <c r="J123" s="292"/>
      <c r="K123" s="258"/>
      <c r="L123" s="376"/>
      <c r="M123" s="384"/>
      <c r="N123" s="276"/>
      <c r="O123" s="276"/>
    </row>
    <row r="124" spans="1:15" x14ac:dyDescent="0.35">
      <c r="A124" s="244"/>
      <c r="B124" s="244"/>
      <c r="C124" s="244"/>
      <c r="D124" s="244"/>
      <c r="E124" s="363"/>
      <c r="F124" s="365"/>
      <c r="G124" s="365"/>
      <c r="H124" s="259"/>
      <c r="I124" s="218"/>
      <c r="J124" s="280"/>
      <c r="K124" s="258"/>
      <c r="L124" s="376"/>
      <c r="M124" s="384"/>
      <c r="N124" s="276"/>
      <c r="O124" s="276"/>
    </row>
    <row r="125" spans="1:15" x14ac:dyDescent="0.35">
      <c r="A125" s="244"/>
      <c r="B125" s="244"/>
      <c r="C125" s="244"/>
      <c r="D125" s="244"/>
      <c r="E125" s="363"/>
      <c r="F125" s="364"/>
      <c r="G125" s="364"/>
      <c r="H125" s="259"/>
      <c r="I125" s="233"/>
      <c r="J125" s="292"/>
      <c r="K125" s="258"/>
      <c r="L125" s="376"/>
      <c r="M125" s="384"/>
      <c r="N125" s="276"/>
      <c r="O125" s="276"/>
    </row>
    <row r="126" spans="1:15" x14ac:dyDescent="0.35">
      <c r="A126" s="244"/>
      <c r="B126" s="244"/>
      <c r="C126" s="244"/>
      <c r="D126" s="244"/>
      <c r="E126" s="363"/>
      <c r="F126" s="364"/>
      <c r="G126" s="364"/>
      <c r="H126" s="259"/>
      <c r="I126" s="233"/>
      <c r="J126" s="292"/>
      <c r="K126" s="258"/>
      <c r="L126" s="376"/>
      <c r="M126" s="384"/>
      <c r="N126" s="276"/>
      <c r="O126" s="276"/>
    </row>
    <row r="127" spans="1:15" x14ac:dyDescent="0.35">
      <c r="A127" s="244"/>
      <c r="B127" s="244"/>
      <c r="C127" s="244"/>
      <c r="D127" s="244"/>
      <c r="E127" s="363"/>
      <c r="F127" s="365"/>
      <c r="G127" s="365"/>
      <c r="H127" s="259"/>
      <c r="I127" s="284"/>
      <c r="J127" s="262"/>
      <c r="K127" s="258"/>
      <c r="L127" s="376"/>
      <c r="M127" s="384"/>
      <c r="N127" s="276"/>
      <c r="O127" s="276"/>
    </row>
    <row r="128" spans="1:15" ht="16" thickBot="1" x14ac:dyDescent="0.4">
      <c r="A128" s="244"/>
      <c r="B128" s="277"/>
      <c r="C128" s="277"/>
      <c r="D128" s="277"/>
      <c r="E128" s="293"/>
      <c r="F128" s="293"/>
      <c r="G128" s="293"/>
      <c r="H128" s="238">
        <f>K117-SUM(I118:J127)</f>
        <v>34991</v>
      </c>
      <c r="I128" s="248"/>
      <c r="J128" s="248"/>
      <c r="K128" s="273"/>
      <c r="L128" s="373"/>
      <c r="M128" s="386"/>
    </row>
    <row r="129" spans="1:15" x14ac:dyDescent="0.35">
      <c r="A129" s="244"/>
      <c r="B129" s="224" t="s">
        <v>183</v>
      </c>
      <c r="C129" s="225"/>
      <c r="D129" s="225"/>
      <c r="E129" s="476" t="s">
        <v>322</v>
      </c>
      <c r="F129" s="476"/>
      <c r="G129" s="226"/>
      <c r="H129" s="268"/>
      <c r="I129" s="265"/>
      <c r="J129" s="265"/>
      <c r="K129" s="228">
        <v>56300</v>
      </c>
      <c r="L129" s="374"/>
      <c r="M129" s="388"/>
    </row>
    <row r="130" spans="1:15" x14ac:dyDescent="0.35">
      <c r="A130" s="244"/>
      <c r="B130" s="244"/>
      <c r="C130" s="244"/>
      <c r="D130" s="244"/>
      <c r="E130" s="367"/>
      <c r="F130" s="254"/>
      <c r="G130" s="254"/>
      <c r="H130" s="232"/>
      <c r="I130" s="218"/>
      <c r="J130" s="218"/>
      <c r="L130" s="372"/>
      <c r="M130" s="384"/>
    </row>
    <row r="131" spans="1:15" x14ac:dyDescent="0.35">
      <c r="A131" s="231"/>
      <c r="E131" s="367"/>
      <c r="F131" s="254"/>
      <c r="G131" s="254"/>
      <c r="H131" s="232"/>
      <c r="I131" s="280"/>
      <c r="J131" s="233"/>
      <c r="K131" s="234"/>
      <c r="L131" s="379"/>
      <c r="M131" s="384"/>
    </row>
    <row r="132" spans="1:15" x14ac:dyDescent="0.35">
      <c r="A132" s="231"/>
      <c r="E132" s="367"/>
      <c r="F132" s="254"/>
      <c r="G132" s="254"/>
      <c r="H132" s="147"/>
      <c r="I132" s="280"/>
      <c r="J132" s="233"/>
      <c r="K132" s="234"/>
      <c r="L132" s="379"/>
      <c r="M132" s="384"/>
    </row>
    <row r="133" spans="1:15" x14ac:dyDescent="0.35">
      <c r="A133" s="231"/>
      <c r="E133" s="367"/>
      <c r="F133" s="254"/>
      <c r="G133" s="254"/>
      <c r="H133" s="232"/>
      <c r="I133" s="280"/>
      <c r="J133" s="262"/>
      <c r="K133" s="234"/>
      <c r="L133" s="379"/>
      <c r="M133" s="384"/>
    </row>
    <row r="134" spans="1:15" x14ac:dyDescent="0.35">
      <c r="A134" s="244"/>
      <c r="B134" s="244"/>
      <c r="C134" s="244"/>
      <c r="D134" s="244"/>
      <c r="E134" s="367"/>
      <c r="F134" s="254"/>
      <c r="G134" s="254"/>
      <c r="H134" s="232"/>
      <c r="I134" s="280"/>
      <c r="J134" s="262"/>
      <c r="L134" s="372"/>
      <c r="M134" s="384"/>
    </row>
    <row r="135" spans="1:15" ht="16" thickBot="1" x14ac:dyDescent="0.4">
      <c r="A135" s="244"/>
      <c r="B135" s="277"/>
      <c r="C135" s="277"/>
      <c r="D135" s="277"/>
      <c r="E135" s="366"/>
      <c r="F135" s="264"/>
      <c r="G135" s="264"/>
      <c r="H135" s="238">
        <f>K129-SUM(I130:J134)</f>
        <v>56300</v>
      </c>
      <c r="I135" s="248"/>
      <c r="J135" s="248"/>
      <c r="K135" s="273"/>
      <c r="L135" s="373"/>
      <c r="M135" s="386"/>
    </row>
    <row r="136" spans="1:15" x14ac:dyDescent="0.35">
      <c r="A136" s="231"/>
      <c r="B136" s="224" t="s">
        <v>323</v>
      </c>
      <c r="C136" s="225" t="s">
        <v>302</v>
      </c>
      <c r="D136" s="427"/>
      <c r="E136" s="485"/>
      <c r="F136" s="486"/>
      <c r="G136" s="428"/>
      <c r="H136" s="268"/>
      <c r="I136" s="265"/>
      <c r="J136" s="265"/>
      <c r="K136" s="228">
        <v>2000</v>
      </c>
      <c r="L136" s="374"/>
      <c r="M136" s="388"/>
    </row>
    <row r="137" spans="1:15" x14ac:dyDescent="0.35">
      <c r="A137" s="231"/>
      <c r="B137" s="231"/>
      <c r="C137" s="231"/>
      <c r="D137" s="294"/>
      <c r="E137" s="367"/>
      <c r="F137" s="303"/>
      <c r="G137" s="303"/>
      <c r="H137" s="255"/>
      <c r="I137" s="218"/>
      <c r="J137" s="111"/>
      <c r="K137" s="258"/>
      <c r="L137" s="376"/>
      <c r="M137" s="384"/>
      <c r="N137" s="276"/>
      <c r="O137" s="276"/>
    </row>
    <row r="138" spans="1:15" ht="16" thickBot="1" x14ac:dyDescent="0.4">
      <c r="A138" s="231"/>
      <c r="B138" s="277"/>
      <c r="C138" s="277"/>
      <c r="D138" s="277"/>
      <c r="E138" s="305"/>
      <c r="F138" s="305"/>
      <c r="G138" s="305"/>
      <c r="H138" s="306">
        <f>K136-J137-J138</f>
        <v>2000</v>
      </c>
      <c r="I138" s="248"/>
      <c r="J138" s="248"/>
      <c r="K138" s="273"/>
      <c r="L138" s="373"/>
      <c r="M138" s="386"/>
    </row>
    <row r="139" spans="1:15" x14ac:dyDescent="0.35">
      <c r="A139" s="231"/>
      <c r="B139" s="224" t="s">
        <v>481</v>
      </c>
      <c r="C139" s="295"/>
      <c r="D139" s="295"/>
      <c r="E139" s="296" t="s">
        <v>501</v>
      </c>
      <c r="F139" s="297"/>
      <c r="G139" s="297"/>
      <c r="H139" s="298"/>
      <c r="I139" s="299"/>
      <c r="J139" s="299"/>
      <c r="K139" s="300">
        <v>41540</v>
      </c>
      <c r="L139" s="374"/>
      <c r="M139" s="388"/>
    </row>
    <row r="140" spans="1:15" x14ac:dyDescent="0.35">
      <c r="A140" s="231"/>
      <c r="B140" s="231"/>
      <c r="C140" s="231"/>
      <c r="D140" s="294"/>
      <c r="E140" s="367"/>
      <c r="F140" s="301"/>
      <c r="G140" s="301"/>
      <c r="H140" s="232"/>
      <c r="I140" s="218"/>
      <c r="J140" s="302"/>
      <c r="L140" s="372"/>
      <c r="M140" s="384"/>
    </row>
    <row r="141" spans="1:15" x14ac:dyDescent="0.35">
      <c r="A141" s="231"/>
      <c r="B141" s="231"/>
      <c r="C141" s="231"/>
      <c r="D141" s="294"/>
      <c r="E141" s="367"/>
      <c r="F141" s="301"/>
      <c r="G141" s="301"/>
      <c r="H141" s="232"/>
      <c r="I141" s="218"/>
      <c r="J141" s="302"/>
      <c r="L141" s="372"/>
      <c r="M141" s="384"/>
    </row>
    <row r="142" spans="1:15" x14ac:dyDescent="0.35">
      <c r="A142" s="231"/>
      <c r="B142" s="231"/>
      <c r="C142" s="231"/>
      <c r="D142" s="294"/>
      <c r="E142" s="367"/>
      <c r="F142" s="303"/>
      <c r="G142" s="303"/>
      <c r="H142" s="232"/>
      <c r="I142" s="218"/>
      <c r="J142" s="304"/>
      <c r="L142" s="372"/>
      <c r="M142" s="384"/>
    </row>
    <row r="143" spans="1:15" x14ac:dyDescent="0.35">
      <c r="A143" s="231"/>
      <c r="B143" s="231"/>
      <c r="C143" s="231"/>
      <c r="D143" s="294"/>
      <c r="E143" s="367"/>
      <c r="F143" s="303"/>
      <c r="G143" s="303"/>
      <c r="H143" s="232"/>
      <c r="I143" s="218"/>
      <c r="J143" s="304"/>
      <c r="L143" s="372"/>
      <c r="M143" s="384"/>
    </row>
    <row r="144" spans="1:15" x14ac:dyDescent="0.35">
      <c r="A144" s="231"/>
      <c r="B144" s="231"/>
      <c r="C144" s="231"/>
      <c r="D144" s="294"/>
      <c r="E144" s="367"/>
      <c r="F144" s="254"/>
      <c r="G144" s="254"/>
      <c r="H144" s="259"/>
      <c r="I144" s="262"/>
      <c r="J144" s="262"/>
      <c r="L144" s="372"/>
      <c r="M144" s="384"/>
    </row>
    <row r="145" spans="1:13" x14ac:dyDescent="0.35">
      <c r="A145" s="231"/>
      <c r="B145" s="231"/>
      <c r="C145" s="231"/>
      <c r="D145" s="294"/>
      <c r="E145" s="367"/>
      <c r="F145" s="303"/>
      <c r="G145" s="303"/>
      <c r="H145" s="232"/>
      <c r="I145" s="218"/>
      <c r="J145" s="304"/>
      <c r="L145" s="372"/>
      <c r="M145" s="384"/>
    </row>
    <row r="146" spans="1:13" x14ac:dyDescent="0.35">
      <c r="A146" s="231"/>
      <c r="B146" s="231"/>
      <c r="C146" s="231"/>
      <c r="D146" s="294"/>
      <c r="E146" s="367"/>
      <c r="F146" s="245"/>
      <c r="G146" s="245"/>
      <c r="H146" s="232"/>
      <c r="I146" s="218"/>
      <c r="J146" s="218"/>
      <c r="L146" s="372"/>
      <c r="M146" s="384"/>
    </row>
    <row r="147" spans="1:13" x14ac:dyDescent="0.35">
      <c r="A147" s="231"/>
      <c r="B147" s="231"/>
      <c r="C147" s="231"/>
      <c r="D147" s="294"/>
      <c r="E147" s="367"/>
      <c r="F147" s="303"/>
      <c r="G147" s="303"/>
      <c r="H147" s="232"/>
      <c r="I147" s="218"/>
      <c r="J147" s="218"/>
      <c r="L147" s="372"/>
      <c r="M147" s="384"/>
    </row>
    <row r="148" spans="1:13" ht="16" thickBot="1" x14ac:dyDescent="0.4">
      <c r="A148" s="231"/>
      <c r="B148" s="277"/>
      <c r="C148" s="277"/>
      <c r="D148" s="277"/>
      <c r="E148" s="305"/>
      <c r="F148" s="305"/>
      <c r="G148" s="305"/>
      <c r="H148" s="306">
        <f>K139-SUM(I140:J147)</f>
        <v>41540</v>
      </c>
      <c r="I148" s="307"/>
      <c r="J148" s="307"/>
      <c r="K148" s="308"/>
      <c r="L148" s="373"/>
      <c r="M148" s="386"/>
    </row>
    <row r="149" spans="1:13" ht="15" customHeight="1" x14ac:dyDescent="0.35">
      <c r="A149" s="231"/>
      <c r="B149" s="224" t="s">
        <v>324</v>
      </c>
      <c r="C149" s="225" t="s">
        <v>495</v>
      </c>
      <c r="D149" s="224" t="s">
        <v>502</v>
      </c>
      <c r="E149" s="476" t="s">
        <v>503</v>
      </c>
      <c r="F149" s="476"/>
      <c r="G149" s="226"/>
      <c r="H149" s="268"/>
      <c r="I149" s="265"/>
      <c r="J149" s="265"/>
      <c r="K149" s="228">
        <v>6959</v>
      </c>
      <c r="L149" s="374"/>
      <c r="M149" s="387"/>
    </row>
    <row r="150" spans="1:13" ht="15" customHeight="1" x14ac:dyDescent="0.35">
      <c r="A150" s="231"/>
      <c r="B150" s="215"/>
      <c r="C150" s="215"/>
      <c r="D150" s="215"/>
      <c r="E150" s="367"/>
      <c r="F150" s="245"/>
      <c r="G150" s="245"/>
      <c r="I150" s="218"/>
      <c r="J150" s="218"/>
      <c r="L150" s="372"/>
      <c r="M150" s="384"/>
    </row>
    <row r="151" spans="1:13" ht="15" customHeight="1" x14ac:dyDescent="0.35">
      <c r="A151" s="231"/>
      <c r="B151" s="215"/>
      <c r="C151" s="215"/>
      <c r="D151" s="215"/>
      <c r="E151" s="367"/>
      <c r="F151" s="245"/>
      <c r="G151" s="245"/>
      <c r="I151" s="233"/>
      <c r="J151" s="233"/>
      <c r="L151" s="372"/>
      <c r="M151" s="384"/>
    </row>
    <row r="152" spans="1:13" ht="16" thickBot="1" x14ac:dyDescent="0.4">
      <c r="A152" s="231"/>
      <c r="B152" s="277"/>
      <c r="C152" s="277"/>
      <c r="D152" s="277"/>
      <c r="E152" s="264"/>
      <c r="F152" s="264"/>
      <c r="G152" s="264"/>
      <c r="H152" s="238">
        <f>K149-SUM(I150:J151)</f>
        <v>6959</v>
      </c>
      <c r="I152" s="248"/>
      <c r="J152" s="248"/>
      <c r="K152" s="273"/>
      <c r="L152" s="373"/>
      <c r="M152" s="386"/>
    </row>
    <row r="153" spans="1:13" x14ac:dyDescent="0.35">
      <c r="A153" s="231"/>
      <c r="B153" s="224" t="s">
        <v>325</v>
      </c>
      <c r="C153" s="225" t="s">
        <v>302</v>
      </c>
      <c r="D153" s="225" t="s">
        <v>497</v>
      </c>
      <c r="E153" s="476"/>
      <c r="F153" s="476"/>
      <c r="G153" s="226"/>
      <c r="H153" s="241"/>
      <c r="I153" s="242"/>
      <c r="J153" s="242"/>
      <c r="K153" s="243">
        <v>3450</v>
      </c>
      <c r="L153" s="374"/>
      <c r="M153" s="388"/>
    </row>
    <row r="154" spans="1:13" x14ac:dyDescent="0.35">
      <c r="A154" s="231"/>
      <c r="B154" s="215"/>
      <c r="C154" s="215"/>
      <c r="D154" s="215"/>
      <c r="E154" s="367"/>
      <c r="F154" s="245"/>
      <c r="G154" s="245"/>
      <c r="H154" s="232"/>
      <c r="I154" s="233"/>
      <c r="J154" s="233"/>
      <c r="K154" s="234"/>
      <c r="L154" s="372"/>
      <c r="M154" s="384"/>
    </row>
    <row r="155" spans="1:13" ht="16" thickBot="1" x14ac:dyDescent="0.4">
      <c r="A155" s="231"/>
      <c r="B155" s="277"/>
      <c r="C155" s="277"/>
      <c r="D155" s="277"/>
      <c r="E155" s="264"/>
      <c r="F155" s="264"/>
      <c r="G155" s="264"/>
      <c r="H155" s="238">
        <f>K153-SUM(I154:J154)</f>
        <v>3450</v>
      </c>
      <c r="I155" s="248"/>
      <c r="J155" s="249"/>
      <c r="K155" s="250"/>
      <c r="L155" s="373"/>
      <c r="M155" s="386"/>
    </row>
    <row r="156" spans="1:13" x14ac:dyDescent="0.35">
      <c r="A156" s="231"/>
      <c r="B156" s="224" t="s">
        <v>327</v>
      </c>
      <c r="C156" s="225" t="s">
        <v>302</v>
      </c>
      <c r="D156" s="225" t="s">
        <v>497</v>
      </c>
      <c r="E156" s="476" t="s">
        <v>328</v>
      </c>
      <c r="F156" s="476"/>
      <c r="G156" s="226"/>
      <c r="H156" s="241"/>
      <c r="I156" s="242"/>
      <c r="J156" s="242"/>
      <c r="K156" s="243">
        <v>10130</v>
      </c>
      <c r="L156" s="374"/>
      <c r="M156" s="388"/>
    </row>
    <row r="157" spans="1:13" x14ac:dyDescent="0.35">
      <c r="A157" s="231"/>
      <c r="B157" s="215"/>
      <c r="C157" s="215"/>
      <c r="D157" s="215"/>
      <c r="E157" s="429"/>
      <c r="F157" s="430"/>
      <c r="G157" s="199"/>
      <c r="H157" s="232"/>
      <c r="I157" s="233"/>
      <c r="J157" s="110"/>
      <c r="K157" s="234"/>
      <c r="L157" s="372"/>
      <c r="M157" s="384"/>
    </row>
    <row r="158" spans="1:13" x14ac:dyDescent="0.35">
      <c r="A158" s="231"/>
      <c r="B158" s="215"/>
      <c r="C158" s="215"/>
      <c r="D158" s="215"/>
      <c r="E158" s="429"/>
      <c r="F158" s="430"/>
      <c r="G158" s="199"/>
      <c r="H158" s="232"/>
      <c r="I158" s="233"/>
      <c r="J158" s="110"/>
      <c r="K158" s="234"/>
      <c r="L158" s="372"/>
      <c r="M158" s="384"/>
    </row>
    <row r="159" spans="1:13" ht="16" thickBot="1" x14ac:dyDescent="0.4">
      <c r="A159" s="231"/>
      <c r="B159" s="277"/>
      <c r="C159" s="277"/>
      <c r="D159" s="277"/>
      <c r="E159" s="264"/>
      <c r="F159" s="264"/>
      <c r="G159" s="264"/>
      <c r="H159" s="238">
        <f>K156-SUM(I157:J158)</f>
        <v>10130</v>
      </c>
      <c r="I159" s="248"/>
      <c r="J159" s="249"/>
      <c r="K159" s="250"/>
      <c r="L159" s="373"/>
      <c r="M159" s="386"/>
    </row>
    <row r="160" spans="1:13" x14ac:dyDescent="0.35">
      <c r="A160" s="231"/>
      <c r="B160" s="224" t="s">
        <v>545</v>
      </c>
      <c r="C160" s="225"/>
      <c r="D160" s="225" t="s">
        <v>497</v>
      </c>
      <c r="E160" s="476"/>
      <c r="F160" s="476"/>
      <c r="G160" s="226"/>
      <c r="H160" s="241"/>
      <c r="I160" s="242"/>
      <c r="J160" s="242"/>
      <c r="K160" s="243">
        <v>7000</v>
      </c>
      <c r="L160" s="374"/>
      <c r="M160" s="388"/>
    </row>
    <row r="161" spans="1:13" x14ac:dyDescent="0.35">
      <c r="A161" s="231"/>
      <c r="B161" s="215"/>
      <c r="C161" s="215"/>
      <c r="D161" s="215"/>
      <c r="E161" s="368"/>
      <c r="F161" s="199"/>
      <c r="G161" s="199"/>
      <c r="H161" s="232"/>
      <c r="I161" s="233"/>
      <c r="J161" s="110"/>
      <c r="K161" s="234"/>
      <c r="L161" s="372"/>
      <c r="M161" s="384"/>
    </row>
    <row r="162" spans="1:13" x14ac:dyDescent="0.35">
      <c r="A162" s="231"/>
      <c r="B162" s="215"/>
      <c r="C162" s="215"/>
      <c r="D162" s="215"/>
      <c r="E162" s="368"/>
      <c r="F162" s="199"/>
      <c r="G162" s="199"/>
      <c r="H162" s="232"/>
      <c r="I162" s="233"/>
      <c r="J162" s="110"/>
      <c r="K162" s="234"/>
      <c r="L162" s="372"/>
      <c r="M162" s="384"/>
    </row>
    <row r="163" spans="1:13" ht="16" thickBot="1" x14ac:dyDescent="0.4">
      <c r="A163" s="231"/>
      <c r="B163" s="277"/>
      <c r="C163" s="277"/>
      <c r="D163" s="277"/>
      <c r="E163" s="264"/>
      <c r="F163" s="264"/>
      <c r="G163" s="264"/>
      <c r="H163" s="238">
        <f>K160-SUM(I161:J162)</f>
        <v>7000</v>
      </c>
      <c r="I163" s="248"/>
      <c r="J163" s="249"/>
      <c r="K163" s="250"/>
      <c r="L163" s="373"/>
      <c r="M163" s="386"/>
    </row>
    <row r="164" spans="1:13" ht="15.75" customHeight="1" x14ac:dyDescent="0.35">
      <c r="A164" s="231"/>
      <c r="B164" s="224" t="s">
        <v>329</v>
      </c>
      <c r="C164" s="225" t="s">
        <v>302</v>
      </c>
      <c r="D164" s="225" t="s">
        <v>490</v>
      </c>
      <c r="E164" s="487" t="s">
        <v>504</v>
      </c>
      <c r="F164" s="488"/>
      <c r="G164" s="409"/>
      <c r="H164" s="241"/>
      <c r="I164" s="242"/>
      <c r="J164" s="242"/>
      <c r="K164" s="243">
        <v>8000</v>
      </c>
      <c r="L164" s="374"/>
      <c r="M164" s="388"/>
    </row>
    <row r="165" spans="1:13" x14ac:dyDescent="0.35">
      <c r="A165" s="231"/>
      <c r="B165" s="215"/>
      <c r="C165" s="215"/>
      <c r="D165" s="215"/>
      <c r="E165" s="367"/>
      <c r="F165" s="254"/>
      <c r="G165" s="254"/>
      <c r="H165" s="232"/>
      <c r="I165" s="233"/>
      <c r="J165" s="233"/>
      <c r="K165" s="234"/>
      <c r="L165" s="372"/>
      <c r="M165" s="384"/>
    </row>
    <row r="166" spans="1:13" x14ac:dyDescent="0.35">
      <c r="A166" s="231"/>
      <c r="B166" s="215"/>
      <c r="C166" s="215"/>
      <c r="D166" s="215"/>
      <c r="E166" s="367"/>
      <c r="F166" s="254"/>
      <c r="G166" s="254"/>
      <c r="H166" s="232"/>
      <c r="I166" s="233"/>
      <c r="J166" s="233"/>
      <c r="K166" s="234"/>
      <c r="L166" s="372"/>
      <c r="M166" s="384"/>
    </row>
    <row r="167" spans="1:13" x14ac:dyDescent="0.35">
      <c r="A167" s="231" t="s">
        <v>326</v>
      </c>
      <c r="B167" s="231"/>
      <c r="C167" s="231"/>
      <c r="D167" s="231"/>
      <c r="E167" s="367"/>
      <c r="F167" s="301"/>
      <c r="G167" s="301"/>
      <c r="H167" s="232"/>
      <c r="I167" s="233"/>
      <c r="J167" s="233"/>
      <c r="K167" s="234"/>
      <c r="L167" s="372"/>
      <c r="M167" s="384"/>
    </row>
    <row r="168" spans="1:13" ht="16" thickBot="1" x14ac:dyDescent="0.4">
      <c r="A168" s="231"/>
      <c r="B168" s="277"/>
      <c r="C168" s="277"/>
      <c r="D168" s="277"/>
      <c r="E168" s="264"/>
      <c r="F168" s="264"/>
      <c r="G168" s="264"/>
      <c r="H168" s="238">
        <f>K164-SUM(I165:J167)</f>
        <v>8000</v>
      </c>
      <c r="I168" s="248"/>
      <c r="J168" s="249"/>
      <c r="K168" s="250"/>
      <c r="L168" s="373"/>
      <c r="M168" s="386"/>
    </row>
    <row r="169" spans="1:13" hidden="1" x14ac:dyDescent="0.35">
      <c r="A169" s="231"/>
      <c r="B169" s="225" t="s">
        <v>329</v>
      </c>
      <c r="C169" s="225"/>
      <c r="D169" s="225"/>
      <c r="E169" s="476" t="s">
        <v>504</v>
      </c>
      <c r="F169" s="483"/>
      <c r="G169" s="409"/>
      <c r="H169" s="241"/>
      <c r="I169" s="265"/>
      <c r="J169" s="242"/>
      <c r="K169" s="243">
        <v>0</v>
      </c>
      <c r="L169" s="374"/>
      <c r="M169" s="387"/>
    </row>
    <row r="170" spans="1:13" hidden="1" x14ac:dyDescent="0.35">
      <c r="A170" s="231"/>
      <c r="B170" s="231"/>
      <c r="C170" s="231"/>
      <c r="D170" s="231"/>
      <c r="E170" s="147"/>
      <c r="F170" s="147"/>
      <c r="G170" s="147"/>
      <c r="H170" s="232"/>
      <c r="I170" s="218"/>
      <c r="J170" s="233"/>
      <c r="K170" s="234"/>
      <c r="L170" s="372"/>
      <c r="M170" s="384"/>
    </row>
    <row r="171" spans="1:13" hidden="1" x14ac:dyDescent="0.35">
      <c r="A171" s="231"/>
      <c r="B171" s="231"/>
      <c r="C171" s="231"/>
      <c r="D171" s="231"/>
      <c r="E171" s="147"/>
      <c r="F171" s="147"/>
      <c r="G171" s="147"/>
      <c r="H171" s="232"/>
      <c r="I171" s="218"/>
      <c r="J171" s="233"/>
      <c r="K171" s="234"/>
      <c r="L171" s="372"/>
      <c r="M171" s="384"/>
    </row>
    <row r="172" spans="1:13" hidden="1" x14ac:dyDescent="0.35">
      <c r="A172" s="231"/>
      <c r="B172" s="231"/>
      <c r="C172" s="231"/>
      <c r="D172" s="231"/>
      <c r="E172" s="147"/>
      <c r="F172" s="147"/>
      <c r="G172" s="147"/>
      <c r="J172" s="218"/>
      <c r="K172" s="234"/>
      <c r="L172" s="372"/>
      <c r="M172" s="384"/>
    </row>
    <row r="173" spans="1:13" hidden="1" x14ac:dyDescent="0.35">
      <c r="A173" s="231"/>
      <c r="B173" s="231"/>
      <c r="C173" s="231"/>
      <c r="D173" s="231"/>
      <c r="E173" s="310"/>
      <c r="F173" s="310"/>
      <c r="G173" s="310"/>
      <c r="H173" s="232"/>
      <c r="I173" s="218"/>
      <c r="J173" s="233"/>
      <c r="K173" s="234"/>
      <c r="L173" s="372"/>
      <c r="M173" s="384"/>
    </row>
    <row r="174" spans="1:13" hidden="1" x14ac:dyDescent="0.35">
      <c r="A174" s="231"/>
      <c r="B174" s="231"/>
      <c r="C174" s="231"/>
      <c r="D174" s="231"/>
      <c r="E174" s="217"/>
      <c r="F174" s="217"/>
      <c r="G174" s="217"/>
      <c r="H174" s="232"/>
      <c r="I174" s="218"/>
      <c r="J174" s="233"/>
      <c r="K174" s="234"/>
      <c r="L174" s="372"/>
      <c r="M174" s="384"/>
    </row>
    <row r="175" spans="1:13" hidden="1" x14ac:dyDescent="0.35">
      <c r="A175" s="231"/>
      <c r="B175" s="215" t="s">
        <v>329</v>
      </c>
      <c r="C175" s="215" t="s">
        <v>302</v>
      </c>
      <c r="D175" s="215"/>
      <c r="E175" s="489"/>
      <c r="F175" s="490"/>
      <c r="G175" s="408"/>
      <c r="H175" s="232"/>
      <c r="I175" s="218"/>
      <c r="J175" s="233"/>
      <c r="K175" s="234"/>
      <c r="L175" s="372"/>
      <c r="M175" s="384"/>
    </row>
    <row r="176" spans="1:13" hidden="1" x14ac:dyDescent="0.35">
      <c r="A176" s="231"/>
      <c r="B176" s="231"/>
      <c r="C176" s="231"/>
      <c r="D176" s="231"/>
      <c r="E176" s="147"/>
      <c r="F176" s="147"/>
      <c r="G176" s="147"/>
      <c r="H176" s="232"/>
      <c r="I176" s="218"/>
      <c r="J176" s="233"/>
      <c r="K176" s="234"/>
      <c r="L176" s="372"/>
      <c r="M176" s="384"/>
    </row>
    <row r="177" spans="1:13" hidden="1" x14ac:dyDescent="0.35">
      <c r="A177" s="231"/>
      <c r="B177" s="231"/>
      <c r="C177" s="231"/>
      <c r="D177" s="231"/>
      <c r="E177" s="147"/>
      <c r="F177" s="147"/>
      <c r="G177" s="147"/>
      <c r="H177" s="232"/>
      <c r="I177" s="218"/>
      <c r="J177" s="233"/>
      <c r="K177" s="234"/>
      <c r="L177" s="372"/>
      <c r="M177" s="384"/>
    </row>
    <row r="178" spans="1:13" hidden="1" x14ac:dyDescent="0.35">
      <c r="A178" s="231"/>
      <c r="B178" s="231"/>
      <c r="C178" s="231"/>
      <c r="D178" s="231"/>
      <c r="E178" s="147"/>
      <c r="F178" s="147"/>
      <c r="G178" s="147"/>
      <c r="H178" s="232"/>
      <c r="I178" s="218"/>
      <c r="J178" s="233"/>
      <c r="K178" s="234"/>
      <c r="L178" s="372"/>
      <c r="M178" s="384"/>
    </row>
    <row r="179" spans="1:13" hidden="1" x14ac:dyDescent="0.35">
      <c r="A179" s="231"/>
      <c r="B179" s="231"/>
      <c r="C179" s="231"/>
      <c r="D179" s="231"/>
      <c r="E179" s="147"/>
      <c r="F179" s="147"/>
      <c r="G179" s="147"/>
      <c r="H179" s="232"/>
      <c r="I179" s="218"/>
      <c r="J179" s="233"/>
      <c r="K179" s="234"/>
      <c r="L179" s="372"/>
      <c r="M179" s="384"/>
    </row>
    <row r="180" spans="1:13" hidden="1" x14ac:dyDescent="0.35">
      <c r="A180" s="231" t="s">
        <v>330</v>
      </c>
      <c r="B180" s="215"/>
      <c r="C180" s="215"/>
      <c r="D180" s="215"/>
      <c r="E180" s="311"/>
      <c r="F180" s="217"/>
      <c r="G180" s="217"/>
      <c r="H180" s="232">
        <f>K175+K169-(SUM(I170:J179))</f>
        <v>0</v>
      </c>
      <c r="I180" s="218"/>
      <c r="J180" s="233"/>
      <c r="K180" s="234"/>
      <c r="L180" s="372"/>
      <c r="M180" s="384"/>
    </row>
    <row r="181" spans="1:13" x14ac:dyDescent="0.35">
      <c r="A181" s="231"/>
      <c r="B181" s="214" t="s">
        <v>331</v>
      </c>
      <c r="C181" s="215"/>
      <c r="D181" s="215" t="s">
        <v>497</v>
      </c>
      <c r="E181" s="489" t="s">
        <v>332</v>
      </c>
      <c r="F181" s="489"/>
      <c r="G181" s="311"/>
      <c r="H181" s="232"/>
      <c r="I181" s="218"/>
      <c r="J181" s="233"/>
      <c r="K181" s="234">
        <v>2314</v>
      </c>
      <c r="L181" s="372"/>
      <c r="M181" s="390"/>
    </row>
    <row r="182" spans="1:13" x14ac:dyDescent="0.35">
      <c r="A182" s="231"/>
      <c r="B182" s="215"/>
      <c r="C182" s="215"/>
      <c r="D182" s="215"/>
      <c r="E182" s="311"/>
      <c r="F182" s="311"/>
      <c r="G182" s="311"/>
      <c r="H182" s="232"/>
      <c r="I182" s="218"/>
      <c r="J182" s="233"/>
      <c r="K182" s="234"/>
      <c r="L182" s="372"/>
      <c r="M182" s="384"/>
    </row>
    <row r="183" spans="1:13" x14ac:dyDescent="0.35">
      <c r="A183" s="231"/>
      <c r="B183" s="215"/>
      <c r="C183" s="215"/>
      <c r="D183" s="215"/>
      <c r="E183" s="367"/>
      <c r="F183" s="245"/>
      <c r="G183" s="245"/>
      <c r="H183" s="232"/>
      <c r="I183" s="292"/>
      <c r="J183" s="233"/>
      <c r="K183" s="234"/>
      <c r="L183" s="372"/>
      <c r="M183" s="384"/>
    </row>
    <row r="184" spans="1:13" ht="16" thickBot="1" x14ac:dyDescent="0.4">
      <c r="A184" s="231"/>
      <c r="B184" s="237"/>
      <c r="C184" s="237"/>
      <c r="D184" s="237"/>
      <c r="E184" s="263"/>
      <c r="F184" s="264"/>
      <c r="G184" s="264"/>
      <c r="H184" s="238">
        <f>K181-SUM(I183:J183)</f>
        <v>2314</v>
      </c>
      <c r="I184" s="248"/>
      <c r="J184" s="249"/>
      <c r="K184" s="250"/>
      <c r="L184" s="373"/>
      <c r="M184" s="386"/>
    </row>
    <row r="185" spans="1:13" x14ac:dyDescent="0.35">
      <c r="A185" s="231"/>
      <c r="B185" s="224" t="s">
        <v>333</v>
      </c>
      <c r="C185" s="225" t="s">
        <v>495</v>
      </c>
      <c r="D185" s="225"/>
      <c r="E185" s="226">
        <v>1</v>
      </c>
      <c r="F185" s="227"/>
      <c r="G185" s="227"/>
      <c r="H185" s="241"/>
      <c r="I185" s="265"/>
      <c r="J185" s="242"/>
      <c r="K185" s="243">
        <v>1500</v>
      </c>
      <c r="L185" s="374"/>
      <c r="M185" s="388"/>
    </row>
    <row r="186" spans="1:13" x14ac:dyDescent="0.35">
      <c r="A186" s="231"/>
      <c r="B186" s="215"/>
      <c r="C186" s="215"/>
      <c r="D186" s="215"/>
      <c r="E186" s="367"/>
      <c r="F186" s="303"/>
      <c r="G186" s="303"/>
      <c r="H186" s="232"/>
      <c r="I186" s="218"/>
      <c r="J186" s="233"/>
      <c r="K186" s="234"/>
      <c r="L186" s="372"/>
      <c r="M186" s="384"/>
    </row>
    <row r="187" spans="1:13" x14ac:dyDescent="0.35">
      <c r="A187" s="231"/>
      <c r="B187" s="237"/>
      <c r="C187" s="237"/>
      <c r="D187" s="237"/>
      <c r="E187" s="263"/>
      <c r="F187" s="264"/>
      <c r="G187" s="264"/>
      <c r="H187" s="238">
        <f>K185-SUM(I186:J186)</f>
        <v>1500</v>
      </c>
      <c r="I187" s="248"/>
      <c r="J187" s="249"/>
      <c r="K187" s="250"/>
      <c r="L187" s="373"/>
      <c r="M187" s="386"/>
    </row>
    <row r="188" spans="1:13" x14ac:dyDescent="0.35">
      <c r="A188" s="231"/>
      <c r="B188" s="224" t="s">
        <v>299</v>
      </c>
      <c r="C188" s="225" t="s">
        <v>302</v>
      </c>
      <c r="D188" s="225" t="s">
        <v>497</v>
      </c>
      <c r="E188" s="476"/>
      <c r="F188" s="483"/>
      <c r="G188" s="409"/>
      <c r="H188" s="241"/>
      <c r="I188" s="265"/>
      <c r="J188" s="242"/>
      <c r="K188" s="243">
        <v>3570</v>
      </c>
      <c r="L188" s="374"/>
      <c r="M188" s="388"/>
    </row>
    <row r="189" spans="1:13" x14ac:dyDescent="0.35">
      <c r="A189" s="231"/>
      <c r="B189" s="215"/>
      <c r="C189" s="215"/>
      <c r="D189" s="215"/>
      <c r="E189" s="367"/>
      <c r="F189" s="303"/>
      <c r="G189" s="303"/>
      <c r="H189" s="232"/>
      <c r="I189" s="218"/>
      <c r="J189" s="233"/>
      <c r="K189" s="234"/>
      <c r="L189" s="372"/>
      <c r="M189" s="384"/>
    </row>
    <row r="190" spans="1:13" x14ac:dyDescent="0.35">
      <c r="A190" s="231"/>
      <c r="B190" s="215"/>
      <c r="C190" s="215"/>
      <c r="D190" s="215"/>
      <c r="E190" s="367"/>
      <c r="F190" s="303"/>
      <c r="G190" s="303"/>
      <c r="H190" s="232"/>
      <c r="I190" s="218"/>
      <c r="J190" s="233"/>
      <c r="K190" s="234"/>
      <c r="L190" s="372"/>
      <c r="M190" s="384"/>
    </row>
    <row r="191" spans="1:13" ht="16" thickBot="1" x14ac:dyDescent="0.4">
      <c r="A191" s="231"/>
      <c r="B191" s="237"/>
      <c r="C191" s="237"/>
      <c r="D191" s="237"/>
      <c r="E191" s="263"/>
      <c r="F191" s="264"/>
      <c r="G191" s="264"/>
      <c r="H191" s="238">
        <f>K188-SUM(I189:J190)</f>
        <v>3570</v>
      </c>
      <c r="I191" s="248"/>
      <c r="J191" s="249"/>
      <c r="K191" s="250"/>
      <c r="L191" s="373"/>
      <c r="M191" s="386"/>
    </row>
    <row r="192" spans="1:13" x14ac:dyDescent="0.35">
      <c r="A192" s="231"/>
      <c r="B192" s="224" t="s">
        <v>334</v>
      </c>
      <c r="C192" s="225" t="s">
        <v>495</v>
      </c>
      <c r="D192" s="225" t="s">
        <v>497</v>
      </c>
      <c r="E192" s="476" t="s">
        <v>335</v>
      </c>
      <c r="F192" s="476"/>
      <c r="G192" s="226"/>
      <c r="H192" s="241"/>
      <c r="I192" s="242"/>
      <c r="J192" s="242"/>
      <c r="K192" s="243">
        <v>4459</v>
      </c>
      <c r="L192" s="374"/>
      <c r="M192" s="388"/>
    </row>
    <row r="193" spans="1:13" x14ac:dyDescent="0.35">
      <c r="A193" s="231"/>
      <c r="B193" s="244"/>
      <c r="C193" s="244"/>
      <c r="D193" s="244"/>
      <c r="E193" s="367"/>
      <c r="F193" s="245"/>
      <c r="G193" s="245"/>
      <c r="H193" s="232"/>
      <c r="I193" s="292"/>
      <c r="J193" s="233"/>
      <c r="K193" s="234"/>
      <c r="L193" s="372"/>
      <c r="M193" s="384"/>
    </row>
    <row r="194" spans="1:13" x14ac:dyDescent="0.35">
      <c r="A194" s="231"/>
      <c r="B194" s="244"/>
      <c r="C194" s="244"/>
      <c r="D194" s="244"/>
      <c r="E194" s="367"/>
      <c r="F194" s="245"/>
      <c r="G194" s="245"/>
      <c r="H194" s="232"/>
      <c r="I194" s="292"/>
      <c r="J194" s="233"/>
      <c r="K194" s="234"/>
      <c r="L194" s="372"/>
      <c r="M194" s="384"/>
    </row>
    <row r="195" spans="1:13" x14ac:dyDescent="0.35">
      <c r="A195" s="231" t="s">
        <v>336</v>
      </c>
      <c r="B195" s="231"/>
      <c r="C195" s="231"/>
      <c r="D195" s="231"/>
      <c r="E195" s="367"/>
      <c r="F195" s="245"/>
      <c r="G195" s="245"/>
      <c r="H195" s="232"/>
      <c r="I195" s="292"/>
      <c r="J195" s="233"/>
      <c r="K195" s="234"/>
      <c r="L195" s="372"/>
      <c r="M195" s="384"/>
    </row>
    <row r="196" spans="1:13" ht="16" thickBot="1" x14ac:dyDescent="0.4">
      <c r="A196" s="244"/>
      <c r="B196" s="277"/>
      <c r="C196" s="277"/>
      <c r="D196" s="277"/>
      <c r="E196" s="264"/>
      <c r="F196" s="264"/>
      <c r="G196" s="264"/>
      <c r="H196" s="238">
        <f>K192-SUM(I193:J195)</f>
        <v>4459</v>
      </c>
      <c r="I196" s="248"/>
      <c r="J196" s="249"/>
      <c r="K196" s="250"/>
      <c r="L196" s="373"/>
      <c r="M196" s="389"/>
    </row>
    <row r="197" spans="1:13" x14ac:dyDescent="0.35">
      <c r="A197" s="244"/>
      <c r="B197" s="266" t="s">
        <v>337</v>
      </c>
      <c r="C197" s="267" t="s">
        <v>495</v>
      </c>
      <c r="D197" s="267" t="s">
        <v>497</v>
      </c>
      <c r="E197" s="476" t="s">
        <v>505</v>
      </c>
      <c r="F197" s="476"/>
      <c r="G197" s="226"/>
      <c r="H197" s="268"/>
      <c r="I197" s="265"/>
      <c r="J197" s="265"/>
      <c r="K197" s="228">
        <v>2190</v>
      </c>
      <c r="L197" s="374"/>
      <c r="M197" s="388"/>
    </row>
    <row r="198" spans="1:13" x14ac:dyDescent="0.35">
      <c r="A198" s="231"/>
      <c r="B198" s="270"/>
      <c r="C198" s="270"/>
      <c r="D198" s="270"/>
      <c r="E198" s="367"/>
      <c r="F198" s="245"/>
      <c r="G198" s="245"/>
      <c r="I198" s="218"/>
      <c r="J198" s="218"/>
      <c r="L198" s="372"/>
      <c r="M198" s="384"/>
    </row>
    <row r="199" spans="1:13" ht="16" thickBot="1" x14ac:dyDescent="0.4">
      <c r="A199" s="231"/>
      <c r="B199" s="237"/>
      <c r="C199" s="237"/>
      <c r="D199" s="237"/>
      <c r="E199" s="263"/>
      <c r="F199" s="264"/>
      <c r="G199" s="264"/>
      <c r="H199" s="238">
        <f>K197-SUM(I198:J198)</f>
        <v>2190</v>
      </c>
      <c r="I199" s="249"/>
      <c r="J199" s="249"/>
      <c r="K199" s="250"/>
      <c r="L199" s="373"/>
      <c r="M199" s="389"/>
    </row>
    <row r="200" spans="1:13" ht="15.75" customHeight="1" x14ac:dyDescent="0.35">
      <c r="A200" s="231"/>
      <c r="B200" s="224" t="s">
        <v>338</v>
      </c>
      <c r="C200" s="225" t="s">
        <v>495</v>
      </c>
      <c r="D200" s="225"/>
      <c r="E200" s="476" t="s">
        <v>506</v>
      </c>
      <c r="F200" s="476"/>
      <c r="G200" s="226"/>
      <c r="H200" s="241"/>
      <c r="I200" s="312"/>
      <c r="J200" s="312"/>
      <c r="K200" s="243">
        <v>16000</v>
      </c>
      <c r="L200" s="374"/>
      <c r="M200" s="388"/>
    </row>
    <row r="201" spans="1:13" ht="15.75" customHeight="1" x14ac:dyDescent="0.35">
      <c r="A201" s="231"/>
      <c r="B201" s="215"/>
      <c r="C201" s="215"/>
      <c r="D201" s="215"/>
      <c r="E201" s="367"/>
      <c r="F201" s="245"/>
      <c r="G201" s="245"/>
      <c r="H201" s="232"/>
      <c r="I201" s="260"/>
      <c r="J201" s="233"/>
      <c r="K201" s="234"/>
      <c r="L201" s="372"/>
      <c r="M201" s="384"/>
    </row>
    <row r="202" spans="1:13" ht="15.75" customHeight="1" x14ac:dyDescent="0.35">
      <c r="A202" s="231"/>
      <c r="B202" s="215"/>
      <c r="C202" s="215"/>
      <c r="D202" s="215"/>
      <c r="E202" s="367"/>
      <c r="F202" s="245"/>
      <c r="G202" s="245"/>
      <c r="H202" s="232"/>
      <c r="I202" s="260"/>
      <c r="J202" s="233"/>
      <c r="K202" s="234"/>
      <c r="L202" s="372"/>
      <c r="M202" s="384"/>
    </row>
    <row r="203" spans="1:13" ht="15.75" customHeight="1" x14ac:dyDescent="0.35">
      <c r="A203" s="231"/>
      <c r="B203" s="215"/>
      <c r="C203" s="215"/>
      <c r="D203" s="215"/>
      <c r="E203" s="367"/>
      <c r="F203" s="245"/>
      <c r="G203" s="245"/>
      <c r="H203" s="232"/>
      <c r="I203" s="260"/>
      <c r="J203" s="233"/>
      <c r="K203" s="234"/>
      <c r="L203" s="372"/>
      <c r="M203" s="384"/>
    </row>
    <row r="204" spans="1:13" s="213" customFormat="1" ht="16" thickBot="1" x14ac:dyDescent="0.4">
      <c r="A204" s="207"/>
      <c r="B204" s="219"/>
      <c r="C204" s="219"/>
      <c r="D204" s="219"/>
      <c r="E204" s="314"/>
      <c r="F204" s="314"/>
      <c r="G204" s="314"/>
      <c r="H204" s="238">
        <f>K200-SUM(I201:J203)</f>
        <v>16000</v>
      </c>
      <c r="I204" s="249"/>
      <c r="J204" s="249"/>
      <c r="K204" s="240"/>
      <c r="L204" s="373"/>
      <c r="M204" s="386"/>
    </row>
    <row r="205" spans="1:13" s="213" customFormat="1" x14ac:dyDescent="0.35">
      <c r="A205" s="207"/>
      <c r="B205" s="315" t="s">
        <v>482</v>
      </c>
      <c r="C205" s="316"/>
      <c r="D205" s="316"/>
      <c r="E205" s="317" t="s">
        <v>507</v>
      </c>
      <c r="F205" s="318"/>
      <c r="G205" s="318"/>
      <c r="H205" s="298"/>
      <c r="I205" s="319"/>
      <c r="J205" s="319"/>
      <c r="K205" s="320">
        <v>2760</v>
      </c>
      <c r="L205" s="374"/>
      <c r="M205" s="387"/>
    </row>
    <row r="206" spans="1:13" s="213" customFormat="1" x14ac:dyDescent="0.35">
      <c r="A206" s="207"/>
      <c r="B206" s="422"/>
      <c r="C206" s="316"/>
      <c r="D206" s="316"/>
      <c r="E206" s="317"/>
      <c r="F206" s="318"/>
      <c r="G206" s="318"/>
      <c r="H206" s="298"/>
      <c r="I206" s="319"/>
      <c r="J206" s="319"/>
      <c r="K206" s="320"/>
      <c r="L206" s="369"/>
      <c r="M206" s="384"/>
    </row>
    <row r="207" spans="1:13" s="213" customFormat="1" ht="16" thickBot="1" x14ac:dyDescent="0.4">
      <c r="A207" s="207"/>
      <c r="B207" s="321"/>
      <c r="C207" s="321"/>
      <c r="D207" s="321"/>
      <c r="E207" s="322"/>
      <c r="F207" s="322"/>
      <c r="G207" s="322"/>
      <c r="H207" s="323">
        <f>K205-SUM(I207:J207)</f>
        <v>2760</v>
      </c>
      <c r="I207" s="324"/>
      <c r="J207" s="324"/>
      <c r="K207" s="325"/>
      <c r="L207" s="373"/>
      <c r="M207" s="386"/>
    </row>
    <row r="208" spans="1:13" x14ac:dyDescent="0.35">
      <c r="A208" s="253" t="s">
        <v>339</v>
      </c>
      <c r="B208" s="326" t="s">
        <v>340</v>
      </c>
      <c r="C208" s="327" t="s">
        <v>495</v>
      </c>
      <c r="D208" s="327" t="s">
        <v>497</v>
      </c>
      <c r="E208" s="491" t="s">
        <v>508</v>
      </c>
      <c r="F208" s="491"/>
      <c r="G208" s="410"/>
      <c r="H208" s="328"/>
      <c r="I208" s="329"/>
      <c r="J208" s="329"/>
      <c r="K208" s="330">
        <v>3750</v>
      </c>
      <c r="L208" s="374"/>
      <c r="M208" s="388"/>
    </row>
    <row r="209" spans="1:13" x14ac:dyDescent="0.35">
      <c r="A209" s="253"/>
      <c r="B209" s="215"/>
      <c r="C209" s="215"/>
      <c r="D209" s="215"/>
      <c r="E209" s="367"/>
      <c r="F209" s="245"/>
      <c r="G209" s="245"/>
      <c r="H209" s="232"/>
      <c r="I209" s="218"/>
      <c r="J209" s="233"/>
      <c r="K209" s="234"/>
      <c r="L209" s="372"/>
      <c r="M209" s="384"/>
    </row>
    <row r="210" spans="1:13" x14ac:dyDescent="0.35">
      <c r="A210" s="253"/>
      <c r="B210" s="215"/>
      <c r="C210" s="215"/>
      <c r="D210" s="215"/>
      <c r="E210" s="367"/>
      <c r="F210" s="245"/>
      <c r="G210" s="245"/>
      <c r="H210" s="232"/>
      <c r="I210" s="260"/>
      <c r="J210" s="233"/>
      <c r="K210" s="234"/>
      <c r="L210" s="372"/>
      <c r="M210" s="384"/>
    </row>
    <row r="211" spans="1:13" x14ac:dyDescent="0.35">
      <c r="A211" s="253"/>
      <c r="B211" s="215"/>
      <c r="C211" s="215"/>
      <c r="D211" s="215"/>
      <c r="E211" s="367"/>
      <c r="F211" s="245"/>
      <c r="G211" s="245"/>
      <c r="H211" s="232"/>
      <c r="I211" s="260"/>
      <c r="J211" s="233"/>
      <c r="K211" s="234"/>
      <c r="L211" s="372"/>
      <c r="M211" s="385"/>
    </row>
    <row r="212" spans="1:13" x14ac:dyDescent="0.35">
      <c r="A212" s="253"/>
      <c r="B212" s="215"/>
      <c r="C212" s="215"/>
      <c r="D212" s="215"/>
      <c r="E212" s="367"/>
      <c r="F212" s="245"/>
      <c r="G212" s="245"/>
      <c r="H212" s="232"/>
      <c r="I212" s="260"/>
      <c r="J212" s="233"/>
      <c r="K212" s="234"/>
      <c r="L212" s="372"/>
      <c r="M212" s="385"/>
    </row>
    <row r="213" spans="1:13" x14ac:dyDescent="0.35">
      <c r="A213" s="253"/>
      <c r="B213" s="215"/>
      <c r="C213" s="215"/>
      <c r="D213" s="215"/>
      <c r="E213" s="367"/>
      <c r="F213" s="245"/>
      <c r="G213" s="245"/>
      <c r="H213" s="232"/>
      <c r="I213" s="260"/>
      <c r="J213" s="233"/>
      <c r="K213" s="234"/>
      <c r="L213" s="372"/>
      <c r="M213" s="384"/>
    </row>
    <row r="214" spans="1:13" x14ac:dyDescent="0.35">
      <c r="A214" s="253"/>
      <c r="B214" s="215"/>
      <c r="C214" s="215"/>
      <c r="D214" s="215"/>
      <c r="E214" s="370"/>
      <c r="F214" s="331"/>
      <c r="G214" s="331"/>
      <c r="H214" s="232"/>
      <c r="I214" s="233"/>
      <c r="J214" s="233"/>
      <c r="K214" s="234"/>
      <c r="L214" s="372"/>
      <c r="M214" s="384"/>
    </row>
    <row r="215" spans="1:13" x14ac:dyDescent="0.35">
      <c r="A215" s="253"/>
      <c r="B215" s="215"/>
      <c r="C215" s="215"/>
      <c r="D215" s="215"/>
      <c r="E215" s="367"/>
      <c r="F215" s="245"/>
      <c r="G215" s="245"/>
      <c r="H215" s="232"/>
      <c r="I215" s="292"/>
      <c r="J215" s="233"/>
      <c r="K215" s="234"/>
      <c r="L215" s="372"/>
      <c r="M215" s="384"/>
    </row>
    <row r="216" spans="1:13" x14ac:dyDescent="0.35">
      <c r="A216" s="253"/>
      <c r="B216" s="215"/>
      <c r="C216" s="215"/>
      <c r="D216" s="215"/>
      <c r="E216" s="367"/>
      <c r="F216" s="245"/>
      <c r="G216" s="245"/>
      <c r="H216" s="232"/>
      <c r="I216" s="292"/>
      <c r="J216" s="233"/>
      <c r="K216" s="234"/>
      <c r="L216" s="372"/>
      <c r="M216" s="384"/>
    </row>
    <row r="217" spans="1:13" x14ac:dyDescent="0.35">
      <c r="A217" s="253"/>
      <c r="B217" s="215"/>
      <c r="C217" s="215"/>
      <c r="D217" s="215"/>
      <c r="E217" s="367"/>
      <c r="F217" s="245"/>
      <c r="G217" s="245"/>
      <c r="H217" s="232"/>
      <c r="I217" s="260"/>
      <c r="J217" s="233"/>
      <c r="K217" s="234"/>
      <c r="L217" s="372"/>
      <c r="M217" s="384"/>
    </row>
    <row r="218" spans="1:13" x14ac:dyDescent="0.35">
      <c r="A218" s="253"/>
      <c r="B218" s="215"/>
      <c r="C218" s="215"/>
      <c r="D218" s="215"/>
      <c r="E218" s="367"/>
      <c r="F218" s="245"/>
      <c r="G218" s="245"/>
      <c r="H218" s="232"/>
      <c r="I218" s="233"/>
      <c r="J218" s="233"/>
      <c r="K218" s="234"/>
      <c r="L218" s="372"/>
      <c r="M218" s="384"/>
    </row>
    <row r="219" spans="1:13" x14ac:dyDescent="0.35">
      <c r="A219" s="253"/>
      <c r="B219" s="215"/>
      <c r="C219" s="215"/>
      <c r="D219" s="215"/>
      <c r="E219" s="367"/>
      <c r="F219" s="245"/>
      <c r="G219" s="245"/>
      <c r="H219" s="232"/>
      <c r="I219" s="260"/>
      <c r="J219" s="233"/>
      <c r="K219" s="234"/>
      <c r="L219" s="372"/>
      <c r="M219" s="384"/>
    </row>
    <row r="220" spans="1:13" ht="16" thickBot="1" x14ac:dyDescent="0.4">
      <c r="A220" s="231"/>
      <c r="B220" s="277"/>
      <c r="C220" s="277"/>
      <c r="D220" s="277"/>
      <c r="E220" s="264"/>
      <c r="F220" s="264"/>
      <c r="G220" s="264"/>
      <c r="H220" s="238">
        <f>K208-SUM(I209:J219)</f>
        <v>3750</v>
      </c>
      <c r="I220" s="248"/>
      <c r="J220" s="249"/>
      <c r="K220" s="250"/>
      <c r="L220" s="373"/>
      <c r="M220" s="386"/>
    </row>
    <row r="221" spans="1:13" x14ac:dyDescent="0.35">
      <c r="A221" s="231"/>
      <c r="B221" s="224" t="s">
        <v>370</v>
      </c>
      <c r="C221" s="225" t="s">
        <v>509</v>
      </c>
      <c r="D221" s="295"/>
      <c r="E221" s="227"/>
      <c r="F221" s="227"/>
      <c r="G221" s="227"/>
      <c r="H221" s="241"/>
      <c r="I221" s="265"/>
      <c r="J221" s="242"/>
      <c r="K221" s="243">
        <v>1000</v>
      </c>
      <c r="L221" s="374"/>
      <c r="M221" s="388"/>
    </row>
    <row r="222" spans="1:13" x14ac:dyDescent="0.35">
      <c r="A222" s="231"/>
      <c r="B222" s="231"/>
      <c r="C222" s="231"/>
      <c r="D222" s="231"/>
      <c r="E222" s="367"/>
      <c r="F222" s="245"/>
      <c r="G222" s="245"/>
      <c r="H222" s="232"/>
      <c r="I222" s="218"/>
      <c r="J222" s="233"/>
      <c r="K222" s="234"/>
      <c r="L222" s="372"/>
      <c r="M222" s="384"/>
    </row>
    <row r="223" spans="1:13" ht="16" thickBot="1" x14ac:dyDescent="0.4">
      <c r="A223" s="231"/>
      <c r="B223" s="231"/>
      <c r="C223" s="231"/>
      <c r="D223" s="277"/>
      <c r="E223" s="264"/>
      <c r="F223" s="264"/>
      <c r="G223" s="264"/>
      <c r="H223" s="238">
        <f>K221-SUM(I222:J223)</f>
        <v>1000</v>
      </c>
      <c r="I223" s="248"/>
      <c r="J223" s="249"/>
      <c r="K223" s="250"/>
      <c r="L223" s="373"/>
      <c r="M223" s="386"/>
    </row>
    <row r="224" spans="1:13" x14ac:dyDescent="0.35">
      <c r="A224" s="231"/>
      <c r="B224" s="326" t="s">
        <v>341</v>
      </c>
      <c r="C224" s="327" t="s">
        <v>302</v>
      </c>
      <c r="D224" s="225"/>
      <c r="E224" s="492"/>
      <c r="F224" s="493"/>
      <c r="G224" s="411"/>
      <c r="H224" s="241"/>
      <c r="I224" s="242"/>
      <c r="J224" s="242"/>
      <c r="K224" s="243">
        <v>2650</v>
      </c>
      <c r="L224" s="374"/>
      <c r="M224" s="388"/>
    </row>
    <row r="225" spans="1:13" x14ac:dyDescent="0.35">
      <c r="A225" s="231"/>
      <c r="B225" s="231"/>
      <c r="C225" s="231"/>
      <c r="D225" s="231"/>
      <c r="E225" s="368"/>
      <c r="F225" s="199"/>
      <c r="G225" s="199"/>
      <c r="H225" s="232"/>
      <c r="I225" s="233"/>
      <c r="J225" s="110"/>
      <c r="K225" s="234"/>
      <c r="L225" s="372"/>
      <c r="M225" s="384"/>
    </row>
    <row r="226" spans="1:13" ht="16" thickBot="1" x14ac:dyDescent="0.4">
      <c r="A226" s="231"/>
      <c r="B226" s="277"/>
      <c r="C226" s="277"/>
      <c r="D226" s="277"/>
      <c r="E226" s="264"/>
      <c r="F226" s="264"/>
      <c r="G226" s="264"/>
      <c r="H226" s="238">
        <f>K224-SUM(I225:J225)</f>
        <v>2650</v>
      </c>
      <c r="I226" s="248"/>
      <c r="J226" s="249"/>
      <c r="K226" s="250"/>
      <c r="L226" s="373"/>
      <c r="M226" s="386"/>
    </row>
    <row r="227" spans="1:13" x14ac:dyDescent="0.35">
      <c r="A227" s="231"/>
      <c r="B227" s="224" t="s">
        <v>342</v>
      </c>
      <c r="C227" s="225"/>
      <c r="D227" s="225"/>
      <c r="E227" s="474" t="s">
        <v>343</v>
      </c>
      <c r="F227" s="474"/>
      <c r="G227" s="412"/>
      <c r="H227" s="241"/>
      <c r="I227" s="242"/>
      <c r="J227" s="242"/>
      <c r="K227" s="243">
        <v>5000</v>
      </c>
      <c r="L227" s="374"/>
      <c r="M227" s="388"/>
    </row>
    <row r="228" spans="1:13" x14ac:dyDescent="0.35">
      <c r="A228" s="231"/>
      <c r="B228" s="215"/>
      <c r="C228" s="215"/>
      <c r="D228" s="215"/>
      <c r="E228" s="367"/>
      <c r="F228" s="303"/>
      <c r="G228" s="303"/>
      <c r="H228" s="232"/>
      <c r="I228" s="233"/>
      <c r="J228" s="332"/>
      <c r="K228" s="234"/>
      <c r="L228" s="372"/>
      <c r="M228" s="384"/>
    </row>
    <row r="229" spans="1:13" x14ac:dyDescent="0.35">
      <c r="A229" s="231"/>
      <c r="B229" s="215"/>
      <c r="C229" s="215"/>
      <c r="D229" s="215"/>
      <c r="E229" s="367"/>
      <c r="F229" s="303"/>
      <c r="G229" s="303"/>
      <c r="H229" s="232"/>
      <c r="I229" s="233"/>
      <c r="J229" s="333"/>
      <c r="K229" s="234"/>
      <c r="L229" s="372"/>
      <c r="M229" s="384"/>
    </row>
    <row r="230" spans="1:13" ht="16" thickBot="1" x14ac:dyDescent="0.4">
      <c r="A230" s="231"/>
      <c r="B230" s="277"/>
      <c r="C230" s="277"/>
      <c r="D230" s="277"/>
      <c r="E230" s="264"/>
      <c r="F230" s="264"/>
      <c r="G230" s="264"/>
      <c r="H230" s="238">
        <f>K227-SUM(I228:J229)</f>
        <v>5000</v>
      </c>
      <c r="I230" s="248"/>
      <c r="J230" s="249"/>
      <c r="K230" s="250"/>
      <c r="L230" s="373"/>
      <c r="M230" s="386"/>
    </row>
    <row r="231" spans="1:13" x14ac:dyDescent="0.35">
      <c r="A231" s="231"/>
      <c r="B231" s="224" t="s">
        <v>344</v>
      </c>
      <c r="C231" s="225" t="s">
        <v>302</v>
      </c>
      <c r="D231" s="225" t="s">
        <v>497</v>
      </c>
      <c r="E231" s="476" t="s">
        <v>345</v>
      </c>
      <c r="F231" s="476"/>
      <c r="G231" s="226"/>
      <c r="H231" s="241"/>
      <c r="I231" s="242"/>
      <c r="J231" s="242"/>
      <c r="K231" s="243">
        <v>18281</v>
      </c>
      <c r="L231" s="374"/>
      <c r="M231" s="387"/>
    </row>
    <row r="232" spans="1:13" x14ac:dyDescent="0.35">
      <c r="A232" s="231"/>
      <c r="B232" s="231"/>
      <c r="C232" s="231"/>
      <c r="D232" s="231"/>
      <c r="E232" s="367"/>
      <c r="F232" s="303"/>
      <c r="G232" s="303"/>
      <c r="H232" s="232"/>
      <c r="I232" s="233"/>
      <c r="J232" s="233"/>
      <c r="K232" s="234"/>
      <c r="L232" s="372"/>
      <c r="M232" s="384"/>
    </row>
    <row r="233" spans="1:13" x14ac:dyDescent="0.35">
      <c r="A233" s="231"/>
      <c r="B233" s="231"/>
      <c r="C233" s="231"/>
      <c r="D233" s="231"/>
      <c r="E233" s="367"/>
      <c r="F233" s="303"/>
      <c r="G233" s="303"/>
      <c r="H233" s="232"/>
      <c r="I233" s="233"/>
      <c r="J233" s="233"/>
      <c r="K233" s="234"/>
      <c r="L233" s="372"/>
      <c r="M233" s="384"/>
    </row>
    <row r="234" spans="1:13" x14ac:dyDescent="0.35">
      <c r="A234" s="231"/>
      <c r="B234" s="231"/>
      <c r="C234" s="231"/>
      <c r="D234" s="231"/>
      <c r="E234" s="367"/>
      <c r="F234" s="303"/>
      <c r="G234" s="303"/>
      <c r="H234" s="232"/>
      <c r="I234" s="233"/>
      <c r="J234" s="233"/>
      <c r="K234" s="234"/>
      <c r="L234" s="372"/>
      <c r="M234" s="384"/>
    </row>
    <row r="235" spans="1:13" ht="16" thickBot="1" x14ac:dyDescent="0.4">
      <c r="A235" s="231"/>
      <c r="B235" s="277"/>
      <c r="C235" s="277"/>
      <c r="D235" s="277"/>
      <c r="E235" s="264"/>
      <c r="F235" s="264"/>
      <c r="G235" s="264"/>
      <c r="H235" s="238">
        <f>K231-SUM(I232:J234)</f>
        <v>18281</v>
      </c>
      <c r="I235" s="248"/>
      <c r="J235" s="249"/>
      <c r="K235" s="250"/>
      <c r="L235" s="373"/>
      <c r="M235" s="386"/>
    </row>
    <row r="236" spans="1:13" x14ac:dyDescent="0.35">
      <c r="A236" s="231"/>
      <c r="B236" s="224" t="s">
        <v>346</v>
      </c>
      <c r="C236" s="225" t="s">
        <v>495</v>
      </c>
      <c r="D236" s="225" t="s">
        <v>497</v>
      </c>
      <c r="E236" s="476"/>
      <c r="F236" s="476"/>
      <c r="G236" s="226"/>
      <c r="H236" s="241"/>
      <c r="I236" s="242"/>
      <c r="J236" s="242"/>
      <c r="K236" s="243">
        <v>12001</v>
      </c>
      <c r="L236" s="374"/>
      <c r="M236" s="388"/>
    </row>
    <row r="237" spans="1:13" x14ac:dyDescent="0.35">
      <c r="A237" s="231"/>
      <c r="E237" s="367"/>
      <c r="F237" s="245"/>
      <c r="G237" s="245"/>
      <c r="H237" s="232"/>
      <c r="I237" s="260"/>
      <c r="J237" s="233"/>
      <c r="K237" s="234"/>
      <c r="L237" s="379"/>
      <c r="M237" s="384"/>
    </row>
    <row r="238" spans="1:13" x14ac:dyDescent="0.35">
      <c r="A238" s="231"/>
      <c r="E238" s="367"/>
      <c r="F238" s="245"/>
      <c r="G238" s="245"/>
      <c r="H238" s="232"/>
      <c r="I238" s="260"/>
      <c r="J238" s="233"/>
      <c r="K238" s="234"/>
      <c r="L238" s="379"/>
      <c r="M238" s="384"/>
    </row>
    <row r="239" spans="1:13" x14ac:dyDescent="0.35">
      <c r="A239" s="231"/>
      <c r="E239" s="367"/>
      <c r="F239" s="245"/>
      <c r="G239" s="245"/>
      <c r="H239" s="334"/>
      <c r="I239" s="260"/>
      <c r="J239" s="233"/>
      <c r="K239" s="234"/>
      <c r="L239" s="379"/>
      <c r="M239" s="384"/>
    </row>
    <row r="240" spans="1:13" x14ac:dyDescent="0.35">
      <c r="A240" s="231"/>
      <c r="E240" s="367"/>
      <c r="F240" s="245"/>
      <c r="G240" s="245"/>
      <c r="H240" s="232"/>
      <c r="I240" s="260"/>
      <c r="J240" s="233"/>
      <c r="K240" s="234"/>
      <c r="L240" s="379"/>
      <c r="M240" s="384"/>
    </row>
    <row r="241" spans="1:13" x14ac:dyDescent="0.35">
      <c r="A241" s="231"/>
      <c r="E241" s="367"/>
      <c r="F241" s="245"/>
      <c r="G241" s="245"/>
      <c r="H241" s="232"/>
      <c r="I241" s="260"/>
      <c r="J241" s="233"/>
      <c r="K241" s="234"/>
      <c r="L241" s="379"/>
      <c r="M241" s="384"/>
    </row>
    <row r="242" spans="1:13" x14ac:dyDescent="0.35">
      <c r="A242" s="231"/>
      <c r="E242" s="367"/>
      <c r="F242" s="245"/>
      <c r="G242" s="245"/>
      <c r="H242" s="232"/>
      <c r="I242" s="260"/>
      <c r="J242" s="233"/>
      <c r="K242" s="234"/>
      <c r="L242" s="379"/>
      <c r="M242" s="384"/>
    </row>
    <row r="243" spans="1:13" ht="16" thickBot="1" x14ac:dyDescent="0.4">
      <c r="A243" s="231"/>
      <c r="B243" s="335"/>
      <c r="C243" s="335"/>
      <c r="D243" s="335"/>
      <c r="E243" s="336"/>
      <c r="F243" s="336"/>
      <c r="G243" s="336"/>
      <c r="H243" s="238">
        <f>K236-SUM(I237:J242)</f>
        <v>12001</v>
      </c>
      <c r="I243" s="248"/>
      <c r="J243" s="248"/>
      <c r="K243" s="273"/>
      <c r="L243" s="380"/>
      <c r="M243" s="386"/>
    </row>
    <row r="244" spans="1:13" x14ac:dyDescent="0.35">
      <c r="A244" s="231"/>
      <c r="B244" s="224" t="s">
        <v>347</v>
      </c>
      <c r="C244" s="225" t="s">
        <v>495</v>
      </c>
      <c r="D244" s="225" t="s">
        <v>497</v>
      </c>
      <c r="E244" s="476"/>
      <c r="F244" s="476"/>
      <c r="G244" s="226"/>
      <c r="H244" s="241"/>
      <c r="I244" s="242"/>
      <c r="J244" s="242"/>
      <c r="K244" s="243">
        <v>10857</v>
      </c>
      <c r="L244" s="381" t="s">
        <v>510</v>
      </c>
      <c r="M244" s="388"/>
    </row>
    <row r="245" spans="1:13" x14ac:dyDescent="0.35">
      <c r="A245" s="231"/>
      <c r="E245" s="367"/>
      <c r="F245" s="245"/>
      <c r="G245" s="245"/>
      <c r="H245" s="235"/>
      <c r="I245" s="260"/>
      <c r="J245" s="233"/>
      <c r="K245" s="234"/>
      <c r="L245" s="379"/>
      <c r="M245" s="384"/>
    </row>
    <row r="246" spans="1:13" x14ac:dyDescent="0.35">
      <c r="A246" s="231"/>
      <c r="E246" s="367"/>
      <c r="F246" s="245"/>
      <c r="G246" s="245"/>
      <c r="H246" s="235"/>
      <c r="I246" s="233"/>
      <c r="J246" s="233"/>
      <c r="K246" s="234"/>
      <c r="L246" s="379"/>
      <c r="M246" s="384"/>
    </row>
    <row r="247" spans="1:13" x14ac:dyDescent="0.35">
      <c r="A247" s="231"/>
      <c r="E247" s="367"/>
      <c r="F247" s="245"/>
      <c r="G247" s="245"/>
      <c r="H247" s="235"/>
      <c r="I247" s="292"/>
      <c r="J247" s="233"/>
      <c r="K247" s="234"/>
      <c r="L247" s="379"/>
      <c r="M247" s="384"/>
    </row>
    <row r="248" spans="1:13" x14ac:dyDescent="0.35">
      <c r="A248" s="231"/>
      <c r="E248" s="367"/>
      <c r="F248" s="245"/>
      <c r="G248" s="245"/>
      <c r="H248" s="235"/>
      <c r="I248" s="292"/>
      <c r="J248" s="233"/>
      <c r="K248" s="234"/>
      <c r="L248" s="379"/>
      <c r="M248" s="384"/>
    </row>
    <row r="249" spans="1:13" ht="16" thickBot="1" x14ac:dyDescent="0.4">
      <c r="A249" s="231"/>
      <c r="B249" s="335"/>
      <c r="C249" s="335"/>
      <c r="D249" s="335"/>
      <c r="E249" s="314"/>
      <c r="F249" s="314"/>
      <c r="G249" s="314"/>
      <c r="H249" s="238">
        <f>K244-SUM(I245:J248)</f>
        <v>10857</v>
      </c>
      <c r="I249" s="249"/>
      <c r="J249" s="249"/>
      <c r="K249" s="250"/>
      <c r="L249" s="380"/>
      <c r="M249" s="386"/>
    </row>
    <row r="250" spans="1:13" x14ac:dyDescent="0.35">
      <c r="A250" s="231"/>
      <c r="B250" s="224" t="s">
        <v>300</v>
      </c>
      <c r="C250" s="225" t="s">
        <v>302</v>
      </c>
      <c r="D250" s="225"/>
      <c r="E250" s="476" t="s">
        <v>348</v>
      </c>
      <c r="F250" s="476"/>
      <c r="G250" s="226"/>
      <c r="H250" s="241"/>
      <c r="I250" s="242"/>
      <c r="J250" s="242"/>
      <c r="K250" s="243">
        <v>24172</v>
      </c>
      <c r="L250" s="381"/>
      <c r="M250" s="388"/>
    </row>
    <row r="251" spans="1:13" x14ac:dyDescent="0.35">
      <c r="A251" s="231"/>
      <c r="B251" s="244"/>
      <c r="C251" s="244"/>
      <c r="D251" s="244"/>
      <c r="E251" s="367"/>
      <c r="F251" s="303"/>
      <c r="G251" s="303"/>
      <c r="H251" s="232"/>
      <c r="I251" s="233"/>
      <c r="J251" s="304"/>
      <c r="K251" s="234"/>
      <c r="L251" s="379"/>
      <c r="M251" s="384"/>
    </row>
    <row r="252" spans="1:13" x14ac:dyDescent="0.35">
      <c r="A252" s="231"/>
      <c r="B252" s="215"/>
      <c r="C252" s="215"/>
      <c r="D252" s="215"/>
      <c r="E252" s="367"/>
      <c r="F252" s="303"/>
      <c r="G252" s="303"/>
      <c r="H252" s="232"/>
      <c r="I252" s="233"/>
      <c r="J252" s="304"/>
      <c r="K252" s="234"/>
      <c r="L252" s="372"/>
      <c r="M252" s="384"/>
    </row>
    <row r="253" spans="1:13" x14ac:dyDescent="0.35">
      <c r="A253" s="231"/>
      <c r="B253" s="244"/>
      <c r="C253" s="244"/>
      <c r="D253" s="244"/>
      <c r="E253" s="367"/>
      <c r="F253" s="301"/>
      <c r="G253" s="301"/>
      <c r="H253" s="232"/>
      <c r="I253" s="233"/>
      <c r="J253" s="302"/>
      <c r="K253" s="234"/>
      <c r="L253" s="379"/>
      <c r="M253" s="384"/>
    </row>
    <row r="254" spans="1:13" x14ac:dyDescent="0.35">
      <c r="A254" s="231"/>
      <c r="B254" s="244"/>
      <c r="C254" s="244"/>
      <c r="D254" s="244"/>
      <c r="E254" s="367"/>
      <c r="F254" s="301"/>
      <c r="G254" s="301"/>
      <c r="H254" s="232"/>
      <c r="I254" s="218"/>
      <c r="J254" s="302"/>
      <c r="K254" s="234"/>
      <c r="L254" s="379"/>
      <c r="M254" s="384"/>
    </row>
    <row r="255" spans="1:13" x14ac:dyDescent="0.35">
      <c r="A255" s="231"/>
      <c r="B255" s="231"/>
      <c r="C255" s="231"/>
      <c r="D255" s="231"/>
      <c r="E255" s="367"/>
      <c r="F255" s="303"/>
      <c r="G255" s="303"/>
      <c r="H255" s="232"/>
      <c r="I255" s="233"/>
      <c r="J255" s="304"/>
      <c r="K255" s="234"/>
      <c r="L255" s="379"/>
      <c r="M255" s="384"/>
    </row>
    <row r="256" spans="1:13" x14ac:dyDescent="0.35">
      <c r="A256" s="231"/>
      <c r="B256" s="337"/>
      <c r="C256" s="337"/>
      <c r="D256" s="337"/>
      <c r="E256" s="367"/>
      <c r="F256" s="303"/>
      <c r="G256" s="303"/>
      <c r="H256" s="232"/>
      <c r="I256" s="233"/>
      <c r="J256" s="304"/>
      <c r="K256" s="338"/>
      <c r="L256" s="379"/>
      <c r="M256" s="384"/>
    </row>
    <row r="257" spans="1:13" ht="16" thickBot="1" x14ac:dyDescent="0.4">
      <c r="A257" s="244"/>
      <c r="B257" s="277"/>
      <c r="C257" s="277"/>
      <c r="D257" s="277"/>
      <c r="E257" s="272"/>
      <c r="F257" s="272"/>
      <c r="G257" s="272"/>
      <c r="H257" s="238">
        <f>K250-SUM(I251:J256)</f>
        <v>24172</v>
      </c>
      <c r="I257" s="249"/>
      <c r="J257" s="272"/>
      <c r="K257" s="250"/>
      <c r="L257" s="380"/>
      <c r="M257" s="386"/>
    </row>
    <row r="258" spans="1:13" x14ac:dyDescent="0.35">
      <c r="A258" s="231"/>
      <c r="B258" s="224" t="s">
        <v>349</v>
      </c>
      <c r="C258" s="225" t="s">
        <v>495</v>
      </c>
      <c r="D258" s="225"/>
      <c r="E258" s="476"/>
      <c r="F258" s="476"/>
      <c r="G258" s="226"/>
      <c r="H258" s="268"/>
      <c r="I258" s="265"/>
      <c r="J258" s="265"/>
      <c r="K258" s="228">
        <v>4138</v>
      </c>
      <c r="L258" s="381"/>
      <c r="M258" s="388"/>
    </row>
    <row r="259" spans="1:13" x14ac:dyDescent="0.35">
      <c r="A259" s="231"/>
      <c r="E259" s="367"/>
      <c r="F259" s="303"/>
      <c r="G259" s="303"/>
      <c r="H259" s="232"/>
      <c r="I259" s="218"/>
      <c r="J259" s="218"/>
      <c r="L259" s="379"/>
      <c r="M259" s="384"/>
    </row>
    <row r="260" spans="1:13" x14ac:dyDescent="0.35">
      <c r="A260" s="231"/>
      <c r="E260" s="367"/>
      <c r="F260" s="303"/>
      <c r="G260" s="303"/>
      <c r="H260" s="232"/>
      <c r="I260" s="218"/>
      <c r="J260" s="218"/>
      <c r="L260" s="379"/>
      <c r="M260" s="384"/>
    </row>
    <row r="261" spans="1:13" x14ac:dyDescent="0.35">
      <c r="A261" s="231"/>
      <c r="E261" s="367"/>
      <c r="F261" s="303"/>
      <c r="G261" s="303"/>
      <c r="H261" s="232"/>
      <c r="I261" s="218"/>
      <c r="J261" s="218"/>
      <c r="L261" s="379"/>
      <c r="M261" s="384"/>
    </row>
    <row r="262" spans="1:13" x14ac:dyDescent="0.35">
      <c r="A262" s="231"/>
      <c r="B262" s="231"/>
      <c r="C262" s="231"/>
      <c r="D262" s="231"/>
      <c r="E262" s="367"/>
      <c r="F262" s="303"/>
      <c r="G262" s="303"/>
      <c r="H262" s="232"/>
      <c r="I262" s="218"/>
      <c r="J262" s="218"/>
      <c r="L262" s="379"/>
      <c r="M262" s="384"/>
    </row>
    <row r="263" spans="1:13" ht="16" thickBot="1" x14ac:dyDescent="0.4">
      <c r="A263" s="231"/>
      <c r="B263" s="277"/>
      <c r="C263" s="277"/>
      <c r="D263" s="277"/>
      <c r="E263" s="264"/>
      <c r="F263" s="264"/>
      <c r="G263" s="264"/>
      <c r="H263" s="238">
        <f>K258-SUM(I259:J262)</f>
        <v>4138</v>
      </c>
      <c r="I263" s="248"/>
      <c r="J263" s="248"/>
      <c r="K263" s="273"/>
      <c r="L263" s="380"/>
      <c r="M263" s="386"/>
    </row>
    <row r="264" spans="1:13" x14ac:dyDescent="0.35">
      <c r="A264" s="231"/>
      <c r="B264" s="224" t="s">
        <v>350</v>
      </c>
      <c r="C264" s="225" t="s">
        <v>495</v>
      </c>
      <c r="D264" s="225" t="s">
        <v>497</v>
      </c>
      <c r="E264" s="476"/>
      <c r="F264" s="476"/>
      <c r="G264" s="226"/>
      <c r="H264" s="268"/>
      <c r="I264" s="265"/>
      <c r="J264" s="265"/>
      <c r="K264" s="228">
        <v>5000</v>
      </c>
      <c r="L264" s="381"/>
      <c r="M264" s="388"/>
    </row>
    <row r="265" spans="1:13" x14ac:dyDescent="0.35">
      <c r="A265" s="231"/>
      <c r="B265" s="231"/>
      <c r="C265" s="231"/>
      <c r="D265" s="231"/>
      <c r="E265" s="367"/>
      <c r="F265" s="254"/>
      <c r="G265" s="254"/>
      <c r="I265" s="218"/>
      <c r="J265" s="218"/>
      <c r="L265" s="379"/>
      <c r="M265" s="384"/>
    </row>
    <row r="266" spans="1:13" x14ac:dyDescent="0.35">
      <c r="A266" s="231"/>
      <c r="B266" s="231"/>
      <c r="C266" s="231"/>
      <c r="D266" s="231"/>
      <c r="E266" s="367"/>
      <c r="F266" s="245"/>
      <c r="G266" s="245"/>
      <c r="I266" s="218"/>
      <c r="J266" s="218"/>
      <c r="L266" s="379"/>
      <c r="M266" s="384"/>
    </row>
    <row r="267" spans="1:13" x14ac:dyDescent="0.35">
      <c r="A267" s="231"/>
      <c r="B267" s="231"/>
      <c r="C267" s="231"/>
      <c r="D267" s="231"/>
      <c r="E267" s="367"/>
      <c r="F267" s="245"/>
      <c r="G267" s="245"/>
      <c r="I267" s="218"/>
      <c r="J267" s="218"/>
      <c r="L267" s="379"/>
      <c r="M267" s="384"/>
    </row>
    <row r="268" spans="1:13" ht="16" thickBot="1" x14ac:dyDescent="0.4">
      <c r="A268" s="231"/>
      <c r="B268" s="277"/>
      <c r="C268" s="277"/>
      <c r="D268" s="277"/>
      <c r="E268" s="264"/>
      <c r="F268" s="264"/>
      <c r="G268" s="264"/>
      <c r="H268" s="238">
        <f>K264-SUM(I265:J267)</f>
        <v>5000</v>
      </c>
      <c r="I268" s="248"/>
      <c r="J268" s="248"/>
      <c r="K268" s="273"/>
      <c r="L268" s="380"/>
      <c r="M268" s="386"/>
    </row>
    <row r="269" spans="1:13" x14ac:dyDescent="0.35">
      <c r="A269" s="231"/>
      <c r="B269" s="224" t="s">
        <v>351</v>
      </c>
      <c r="C269" s="225" t="s">
        <v>302</v>
      </c>
      <c r="D269" s="225" t="s">
        <v>497</v>
      </c>
      <c r="E269" s="476"/>
      <c r="F269" s="476"/>
      <c r="G269" s="226"/>
      <c r="H269" s="268"/>
      <c r="I269" s="339"/>
      <c r="J269" s="339"/>
      <c r="K269" s="243">
        <v>3411</v>
      </c>
      <c r="L269" s="374"/>
      <c r="M269" s="388"/>
    </row>
    <row r="270" spans="1:13" x14ac:dyDescent="0.35">
      <c r="A270" s="231"/>
      <c r="B270" s="215"/>
      <c r="C270" s="215"/>
      <c r="D270" s="215"/>
      <c r="E270" s="368"/>
      <c r="F270" s="200"/>
      <c r="G270" s="200"/>
      <c r="I270" s="340"/>
      <c r="J270" s="340"/>
      <c r="K270" s="234"/>
      <c r="L270" s="372"/>
      <c r="M270" s="384"/>
    </row>
    <row r="271" spans="1:13" ht="16" thickBot="1" x14ac:dyDescent="0.4">
      <c r="A271" s="231"/>
      <c r="B271" s="335"/>
      <c r="C271" s="335"/>
      <c r="D271" s="335"/>
      <c r="E271" s="341"/>
      <c r="F271" s="341"/>
      <c r="G271" s="341"/>
      <c r="H271" s="221">
        <f>K269-SUM(I270:J270)</f>
        <v>3411</v>
      </c>
      <c r="I271" s="342"/>
      <c r="J271" s="249"/>
      <c r="K271" s="250"/>
      <c r="L271" s="373"/>
      <c r="M271" s="386"/>
    </row>
    <row r="272" spans="1:13" x14ac:dyDescent="0.35">
      <c r="A272" s="231"/>
      <c r="B272" s="224" t="s">
        <v>483</v>
      </c>
      <c r="C272" s="225"/>
      <c r="D272" s="225"/>
      <c r="E272" s="476"/>
      <c r="F272" s="476"/>
      <c r="G272" s="226"/>
      <c r="H272" s="268"/>
      <c r="I272" s="339"/>
      <c r="J272" s="339"/>
      <c r="K272" s="243">
        <v>5750</v>
      </c>
      <c r="L272" s="374"/>
      <c r="M272" s="388"/>
    </row>
    <row r="273" spans="1:13" x14ac:dyDescent="0.35">
      <c r="A273" s="231"/>
      <c r="B273" s="215"/>
      <c r="C273" s="215"/>
      <c r="D273" s="215"/>
      <c r="E273" s="367"/>
      <c r="F273" s="245"/>
      <c r="G273" s="245"/>
      <c r="I273" s="233"/>
      <c r="J273" s="218"/>
      <c r="K273" s="234"/>
      <c r="L273" s="372"/>
      <c r="M273" s="384"/>
    </row>
    <row r="274" spans="1:13" x14ac:dyDescent="0.35">
      <c r="A274" s="231"/>
      <c r="B274" s="215"/>
      <c r="C274" s="215"/>
      <c r="D274" s="215"/>
      <c r="E274" s="367"/>
      <c r="F274" s="245"/>
      <c r="G274" s="245"/>
      <c r="I274" s="218"/>
      <c r="K274" s="234"/>
      <c r="L274" s="372"/>
      <c r="M274" s="384"/>
    </row>
    <row r="275" spans="1:13" x14ac:dyDescent="0.35">
      <c r="A275" s="231" t="s">
        <v>352</v>
      </c>
      <c r="E275" s="367"/>
      <c r="F275" s="254"/>
      <c r="G275" s="254"/>
      <c r="H275" s="259"/>
      <c r="I275" s="262"/>
      <c r="J275" s="262"/>
      <c r="K275" s="234"/>
      <c r="L275" s="372"/>
      <c r="M275" s="384"/>
    </row>
    <row r="276" spans="1:13" ht="16" thickBot="1" x14ac:dyDescent="0.4">
      <c r="A276" s="277"/>
      <c r="B276" s="335"/>
      <c r="C276" s="335"/>
      <c r="D276" s="272"/>
      <c r="E276" s="341"/>
      <c r="F276" s="341"/>
      <c r="G276" s="341"/>
      <c r="H276" s="221">
        <f>K272-SUM(I273:J275)</f>
        <v>5750</v>
      </c>
      <c r="I276" s="342"/>
      <c r="J276" s="249"/>
      <c r="K276" s="250"/>
      <c r="L276" s="373"/>
      <c r="M276" s="386"/>
    </row>
    <row r="277" spans="1:13" x14ac:dyDescent="0.35">
      <c r="A277" s="295"/>
      <c r="B277" s="295"/>
      <c r="C277" s="295"/>
      <c r="D277" s="295"/>
      <c r="E277" s="343"/>
      <c r="F277" s="227"/>
      <c r="G277" s="227"/>
      <c r="H277" s="268"/>
      <c r="I277" s="344"/>
      <c r="J277" s="344"/>
      <c r="K277" s="243"/>
      <c r="L277" s="228"/>
      <c r="M277" s="274"/>
    </row>
    <row r="278" spans="1:13" x14ac:dyDescent="0.35">
      <c r="A278" s="231"/>
      <c r="B278" s="231"/>
      <c r="C278" s="231"/>
      <c r="D278" s="231"/>
      <c r="E278" s="331"/>
      <c r="F278" s="345"/>
      <c r="G278" s="345"/>
      <c r="H278" s="208">
        <f>SUM(H2:H276)</f>
        <v>533618</v>
      </c>
      <c r="I278" s="346">
        <f>SUM(I2:I276)</f>
        <v>0</v>
      </c>
      <c r="J278" s="346">
        <f>SUM(J2:J276)</f>
        <v>0</v>
      </c>
      <c r="K278" s="234"/>
      <c r="M278" s="235"/>
    </row>
    <row r="279" spans="1:13" x14ac:dyDescent="0.35">
      <c r="A279" s="231"/>
      <c r="B279" s="231"/>
      <c r="C279" s="231"/>
      <c r="D279" s="231"/>
      <c r="E279" s="235"/>
      <c r="F279" s="235"/>
      <c r="G279" s="235"/>
      <c r="K279" s="234"/>
      <c r="M279" s="235"/>
    </row>
    <row r="280" spans="1:13" x14ac:dyDescent="0.35">
      <c r="A280" s="231"/>
      <c r="B280" s="347" t="s">
        <v>512</v>
      </c>
      <c r="C280" s="347"/>
      <c r="D280" s="347"/>
      <c r="E280" s="235"/>
      <c r="F280" s="235"/>
      <c r="G280" s="235"/>
      <c r="K280" s="234"/>
      <c r="M280" s="235"/>
    </row>
    <row r="281" spans="1:13" x14ac:dyDescent="0.35">
      <c r="A281" s="231"/>
      <c r="B281" s="215"/>
      <c r="C281" s="215"/>
      <c r="D281" s="215"/>
      <c r="E281" s="235"/>
      <c r="F281" s="235"/>
      <c r="G281" s="235"/>
      <c r="K281" s="234"/>
      <c r="M281" s="235"/>
    </row>
    <row r="282" spans="1:13" x14ac:dyDescent="0.35">
      <c r="A282" s="231"/>
      <c r="B282" s="215" t="s">
        <v>513</v>
      </c>
      <c r="C282" s="215"/>
      <c r="D282" s="215"/>
      <c r="E282" s="217"/>
      <c r="F282" s="217"/>
      <c r="G282" s="217"/>
      <c r="K282" s="211">
        <v>2000</v>
      </c>
      <c r="M282" s="235"/>
    </row>
    <row r="283" spans="1:13" x14ac:dyDescent="0.35">
      <c r="A283" s="231"/>
      <c r="B283" s="231"/>
      <c r="C283" s="231"/>
      <c r="D283" s="231"/>
      <c r="E283" s="217"/>
      <c r="F283" s="217"/>
      <c r="G283" s="217"/>
      <c r="I283" s="218"/>
      <c r="J283" s="218"/>
      <c r="M283" s="235"/>
    </row>
    <row r="284" spans="1:13" ht="15" customHeight="1" x14ac:dyDescent="0.35">
      <c r="A284" s="231"/>
      <c r="B284" s="231"/>
      <c r="C284" s="231"/>
      <c r="D284" s="231"/>
      <c r="E284" s="217"/>
      <c r="F284" s="235"/>
      <c r="G284" s="235"/>
      <c r="I284" s="218"/>
      <c r="J284" s="218"/>
      <c r="K284" s="234"/>
      <c r="M284" s="235"/>
    </row>
    <row r="285" spans="1:13" ht="15" customHeight="1" x14ac:dyDescent="0.35">
      <c r="A285" s="231"/>
      <c r="B285" s="231"/>
      <c r="C285" s="231"/>
      <c r="D285" s="231"/>
      <c r="E285" s="235"/>
      <c r="F285" s="235"/>
      <c r="G285" s="235"/>
      <c r="I285" s="218"/>
      <c r="K285" s="234"/>
      <c r="M285" s="235"/>
    </row>
    <row r="286" spans="1:13" ht="16" thickBot="1" x14ac:dyDescent="0.4">
      <c r="A286" s="231"/>
      <c r="B286" s="237"/>
      <c r="C286" s="237"/>
      <c r="D286" s="237"/>
      <c r="E286" s="341"/>
      <c r="F286" s="264"/>
      <c r="G286" s="264"/>
      <c r="H286" s="348">
        <f>K282-SUM(I283:J284)</f>
        <v>2000</v>
      </c>
      <c r="I286" s="248"/>
      <c r="J286" s="349"/>
      <c r="K286" s="250"/>
      <c r="M286" s="235"/>
    </row>
    <row r="287" spans="1:13" x14ac:dyDescent="0.35">
      <c r="A287" s="231"/>
      <c r="B287" s="225" t="s">
        <v>514</v>
      </c>
      <c r="C287" s="225"/>
      <c r="D287" s="225"/>
      <c r="E287" s="227"/>
      <c r="F287" s="227"/>
      <c r="G287" s="227"/>
      <c r="H287" s="268"/>
      <c r="I287" s="344"/>
      <c r="J287" s="344"/>
      <c r="K287" s="228">
        <v>2000</v>
      </c>
      <c r="M287" s="235"/>
    </row>
    <row r="288" spans="1:13" x14ac:dyDescent="0.35">
      <c r="A288" s="231"/>
      <c r="B288" s="231"/>
      <c r="C288" s="231"/>
      <c r="D288" s="231"/>
      <c r="E288" s="217"/>
      <c r="F288" s="217"/>
      <c r="G288" s="217"/>
      <c r="I288" s="218"/>
      <c r="J288" s="218"/>
      <c r="M288" s="235"/>
    </row>
    <row r="289" spans="1:13" ht="15" customHeight="1" x14ac:dyDescent="0.35">
      <c r="A289" s="231"/>
      <c r="B289" s="231"/>
      <c r="C289" s="231"/>
      <c r="D289" s="231"/>
      <c r="E289" s="235"/>
      <c r="F289" s="235"/>
      <c r="G289" s="235"/>
      <c r="I289" s="218"/>
      <c r="K289" s="234"/>
      <c r="M289" s="235"/>
    </row>
    <row r="290" spans="1:13" ht="16" thickBot="1" x14ac:dyDescent="0.4">
      <c r="A290" s="231"/>
      <c r="B290" s="237"/>
      <c r="C290" s="237"/>
      <c r="D290" s="237"/>
      <c r="E290" s="341"/>
      <c r="F290" s="264"/>
      <c r="G290" s="264"/>
      <c r="H290" s="348">
        <f>K287-SUM(I288:J288)</f>
        <v>2000</v>
      </c>
      <c r="I290" s="248"/>
      <c r="J290" s="349"/>
      <c r="K290" s="250"/>
      <c r="M290" s="235"/>
    </row>
    <row r="291" spans="1:13" x14ac:dyDescent="0.35">
      <c r="A291" s="231"/>
      <c r="B291" s="225" t="s">
        <v>515</v>
      </c>
      <c r="C291" s="225"/>
      <c r="D291" s="225"/>
      <c r="E291" s="227"/>
      <c r="F291" s="227"/>
      <c r="G291" s="227"/>
      <c r="H291" s="268"/>
      <c r="I291" s="344"/>
      <c r="J291" s="344"/>
      <c r="K291" s="228">
        <v>2000</v>
      </c>
      <c r="M291" s="235"/>
    </row>
    <row r="292" spans="1:13" x14ac:dyDescent="0.35">
      <c r="A292" s="231"/>
      <c r="B292" s="231"/>
      <c r="C292" s="231"/>
      <c r="D292" s="231"/>
      <c r="E292" s="217"/>
      <c r="F292" s="217"/>
      <c r="G292" s="217"/>
      <c r="I292" s="218"/>
      <c r="J292" s="218"/>
      <c r="M292" s="235"/>
    </row>
    <row r="293" spans="1:13" ht="15" customHeight="1" x14ac:dyDescent="0.35">
      <c r="A293" s="231"/>
      <c r="B293" s="231"/>
      <c r="C293" s="231"/>
      <c r="D293" s="231"/>
      <c r="E293" s="235"/>
      <c r="F293" s="235"/>
      <c r="G293" s="235"/>
      <c r="I293" s="218"/>
      <c r="K293" s="234"/>
      <c r="M293" s="235"/>
    </row>
    <row r="294" spans="1:13" ht="16" thickBot="1" x14ac:dyDescent="0.4">
      <c r="A294" s="231"/>
      <c r="B294" s="237"/>
      <c r="C294" s="237"/>
      <c r="D294" s="237"/>
      <c r="E294" s="341"/>
      <c r="F294" s="264"/>
      <c r="G294" s="264"/>
      <c r="H294" s="348">
        <f>K291-SUM(I292:J292)</f>
        <v>2000</v>
      </c>
      <c r="I294" s="248"/>
      <c r="J294" s="349"/>
      <c r="K294" s="250"/>
      <c r="M294" s="235"/>
    </row>
    <row r="295" spans="1:13" ht="15.75" customHeight="1" x14ac:dyDescent="0.35">
      <c r="A295" s="231"/>
      <c r="B295" s="225" t="s">
        <v>516</v>
      </c>
      <c r="C295" s="225" t="s">
        <v>302</v>
      </c>
      <c r="D295" s="225" t="s">
        <v>517</v>
      </c>
      <c r="E295" s="476" t="s">
        <v>532</v>
      </c>
      <c r="F295" s="476"/>
      <c r="G295" s="226"/>
      <c r="H295" s="241"/>
      <c r="I295" s="265"/>
      <c r="J295" s="265"/>
      <c r="K295" s="243">
        <v>7807.53</v>
      </c>
      <c r="M295" s="235"/>
    </row>
    <row r="296" spans="1:13" x14ac:dyDescent="0.35">
      <c r="A296" s="231"/>
      <c r="B296" s="417" t="s">
        <v>538</v>
      </c>
      <c r="C296" s="215"/>
      <c r="D296" s="215"/>
      <c r="E296" s="217" t="s">
        <v>533</v>
      </c>
      <c r="F296" s="217" t="s">
        <v>536</v>
      </c>
      <c r="G296" s="418">
        <v>157756107</v>
      </c>
      <c r="H296" s="232"/>
      <c r="I296" s="350"/>
      <c r="J296" s="351">
        <v>5205.0200000000004</v>
      </c>
      <c r="K296" s="234"/>
      <c r="M296" s="235"/>
    </row>
    <row r="297" spans="1:13" x14ac:dyDescent="0.35">
      <c r="A297" s="231"/>
      <c r="B297" s="231"/>
      <c r="C297" s="231"/>
      <c r="D297" s="231"/>
      <c r="E297" s="217" t="s">
        <v>534</v>
      </c>
      <c r="F297" s="217" t="s">
        <v>535</v>
      </c>
      <c r="G297" s="418">
        <v>155207190</v>
      </c>
      <c r="H297" s="232"/>
      <c r="I297" s="233"/>
      <c r="J297" s="351">
        <v>2602.5100000000002</v>
      </c>
      <c r="K297" s="234"/>
      <c r="M297" s="235"/>
    </row>
    <row r="298" spans="1:13" x14ac:dyDescent="0.35">
      <c r="A298" s="231"/>
      <c r="B298" s="231"/>
      <c r="C298" s="231"/>
      <c r="D298" s="231"/>
      <c r="E298" s="217"/>
      <c r="F298" s="217"/>
      <c r="G298" s="217"/>
      <c r="H298" s="232"/>
      <c r="I298" s="233"/>
      <c r="J298" s="352"/>
      <c r="K298" s="234"/>
      <c r="M298" s="235"/>
    </row>
    <row r="299" spans="1:13" ht="16" thickBot="1" x14ac:dyDescent="0.4">
      <c r="A299" s="231" t="s">
        <v>518</v>
      </c>
      <c r="B299" s="277"/>
      <c r="C299" s="277"/>
      <c r="D299" s="277"/>
      <c r="E299" s="264"/>
      <c r="F299" s="264"/>
      <c r="G299" s="264"/>
      <c r="H299" s="348">
        <f>K295-SUM(I296:J297)</f>
        <v>0</v>
      </c>
      <c r="I299" s="353"/>
      <c r="J299" s="353"/>
      <c r="K299" s="250"/>
      <c r="M299" s="235"/>
    </row>
    <row r="300" spans="1:13" ht="15.75" customHeight="1" x14ac:dyDescent="0.35">
      <c r="A300" s="231"/>
      <c r="B300" s="225" t="s">
        <v>511</v>
      </c>
      <c r="C300" s="225" t="s">
        <v>519</v>
      </c>
      <c r="D300" s="225" t="s">
        <v>520</v>
      </c>
      <c r="E300" s="494" t="s">
        <v>521</v>
      </c>
      <c r="F300" s="494"/>
      <c r="G300" s="406"/>
      <c r="H300" s="241"/>
      <c r="I300" s="312"/>
      <c r="J300" s="312"/>
      <c r="K300" s="243">
        <v>10000</v>
      </c>
      <c r="M300" s="235"/>
    </row>
    <row r="301" spans="1:13" ht="15.75" customHeight="1" x14ac:dyDescent="0.35">
      <c r="A301" s="231"/>
      <c r="B301" s="215"/>
      <c r="C301" s="215"/>
      <c r="D301" s="215"/>
      <c r="E301" s="199"/>
      <c r="F301" s="199"/>
      <c r="G301" s="199"/>
      <c r="H301" s="354"/>
      <c r="I301" s="233"/>
      <c r="J301" s="233"/>
      <c r="K301" s="234"/>
      <c r="M301" s="235"/>
    </row>
    <row r="302" spans="1:13" ht="16" thickBot="1" x14ac:dyDescent="0.4">
      <c r="A302" s="231"/>
      <c r="B302" s="277"/>
      <c r="C302" s="215"/>
      <c r="D302" s="277"/>
      <c r="E302" s="341"/>
      <c r="F302" s="341"/>
      <c r="G302" s="341"/>
      <c r="H302" s="348">
        <f>K300-SUM(J301:J301)</f>
        <v>10000</v>
      </c>
      <c r="I302" s="353"/>
      <c r="J302" s="353"/>
      <c r="K302" s="250"/>
      <c r="M302" s="235"/>
    </row>
    <row r="303" spans="1:13" ht="15" customHeight="1" x14ac:dyDescent="0.35">
      <c r="A303" s="231"/>
      <c r="B303" s="225" t="s">
        <v>522</v>
      </c>
      <c r="C303" s="225"/>
      <c r="D303" s="225" t="s">
        <v>517</v>
      </c>
      <c r="E303" s="476" t="s">
        <v>523</v>
      </c>
      <c r="F303" s="476"/>
      <c r="G303" s="226"/>
      <c r="H303" s="241"/>
      <c r="I303" s="312"/>
      <c r="J303" s="312"/>
      <c r="K303" s="243"/>
      <c r="M303" s="235"/>
    </row>
    <row r="304" spans="1:13" x14ac:dyDescent="0.35">
      <c r="A304" s="231"/>
      <c r="B304" s="244"/>
      <c r="C304" s="244"/>
      <c r="D304" s="244"/>
      <c r="E304" s="355"/>
      <c r="F304" s="355"/>
      <c r="G304" s="355"/>
      <c r="H304" s="232"/>
      <c r="I304" s="350"/>
      <c r="J304" s="350"/>
      <c r="K304" s="234"/>
      <c r="M304" s="235"/>
    </row>
    <row r="305" spans="1:13" x14ac:dyDescent="0.35">
      <c r="M305" s="235"/>
    </row>
    <row r="306" spans="1:13" x14ac:dyDescent="0.35">
      <c r="B306" s="356" t="s">
        <v>524</v>
      </c>
      <c r="C306" s="356" t="s">
        <v>519</v>
      </c>
      <c r="D306" s="356" t="s">
        <v>520</v>
      </c>
      <c r="K306" s="211">
        <v>2000</v>
      </c>
      <c r="M306" s="235"/>
    </row>
    <row r="307" spans="1:13" x14ac:dyDescent="0.35">
      <c r="J307" s="218"/>
      <c r="M307" s="235"/>
    </row>
    <row r="308" spans="1:13" x14ac:dyDescent="0.35">
      <c r="M308" s="235"/>
    </row>
    <row r="309" spans="1:13" ht="16" thickBot="1" x14ac:dyDescent="0.4">
      <c r="B309" s="335"/>
      <c r="C309" s="335"/>
      <c r="D309" s="335"/>
      <c r="E309" s="336"/>
      <c r="F309" s="336"/>
      <c r="G309" s="336"/>
      <c r="H309" s="221">
        <f>K306-(I307+J307)</f>
        <v>2000</v>
      </c>
      <c r="I309" s="349"/>
      <c r="J309" s="349"/>
      <c r="K309" s="273"/>
      <c r="M309" s="235"/>
    </row>
    <row r="310" spans="1:13" ht="15.75" customHeight="1" x14ac:dyDescent="0.35">
      <c r="A310" s="231"/>
      <c r="B310" s="225" t="s">
        <v>525</v>
      </c>
      <c r="C310" s="225"/>
      <c r="D310" s="225"/>
      <c r="E310" s="495"/>
      <c r="F310" s="495"/>
      <c r="G310" s="407"/>
      <c r="H310" s="268"/>
      <c r="I310" s="344"/>
      <c r="J310" s="344"/>
      <c r="K310" s="243"/>
      <c r="M310" s="235"/>
    </row>
    <row r="311" spans="1:13" x14ac:dyDescent="0.35">
      <c r="A311" s="231"/>
      <c r="B311" s="231"/>
      <c r="C311" s="231"/>
      <c r="D311" s="231"/>
      <c r="E311" s="217"/>
      <c r="F311" s="217"/>
      <c r="G311" s="217"/>
      <c r="K311" s="234"/>
      <c r="M311" s="235"/>
    </row>
    <row r="312" spans="1:13" ht="16.149999999999999" customHeight="1" x14ac:dyDescent="0.35">
      <c r="A312" s="231"/>
      <c r="B312" s="215" t="s">
        <v>215</v>
      </c>
      <c r="C312" s="231"/>
      <c r="D312" s="215"/>
      <c r="E312" s="235"/>
      <c r="F312" s="235"/>
      <c r="G312" s="235"/>
      <c r="K312" s="211">
        <v>20000</v>
      </c>
      <c r="M312" s="235"/>
    </row>
    <row r="313" spans="1:13" ht="15" customHeight="1" x14ac:dyDescent="0.35">
      <c r="A313" s="231"/>
      <c r="B313" s="231"/>
      <c r="C313" s="231"/>
      <c r="D313" s="231"/>
      <c r="E313" s="147"/>
      <c r="F313" s="147"/>
      <c r="G313" s="147"/>
      <c r="H313" s="309"/>
      <c r="I313" s="218"/>
      <c r="J313" s="358"/>
      <c r="K313" s="359"/>
      <c r="L313" s="313"/>
      <c r="M313" s="235"/>
    </row>
    <row r="314" spans="1:13" ht="15" customHeight="1" x14ac:dyDescent="0.35">
      <c r="A314" s="231"/>
      <c r="B314" s="231"/>
      <c r="C314" s="231"/>
      <c r="D314" s="231"/>
      <c r="E314" s="147"/>
      <c r="F314" s="147"/>
      <c r="G314" s="147"/>
      <c r="H314" s="309"/>
      <c r="I314" s="218"/>
      <c r="J314" s="358"/>
      <c r="K314" s="359"/>
      <c r="L314" s="313"/>
      <c r="M314" s="235"/>
    </row>
    <row r="315" spans="1:13" x14ac:dyDescent="0.35">
      <c r="M315" s="235"/>
    </row>
    <row r="316" spans="1:13" x14ac:dyDescent="0.35">
      <c r="H316" s="208">
        <f>K312-SUM(I313:J314)</f>
        <v>20000</v>
      </c>
      <c r="M316" s="235"/>
    </row>
    <row r="317" spans="1:13" x14ac:dyDescent="0.35">
      <c r="M317" s="235"/>
    </row>
    <row r="318" spans="1:13" x14ac:dyDescent="0.35">
      <c r="M318" s="235"/>
    </row>
    <row r="319" spans="1:13" x14ac:dyDescent="0.35">
      <c r="M319" s="235"/>
    </row>
    <row r="320" spans="1:13" x14ac:dyDescent="0.35">
      <c r="M320" s="235"/>
    </row>
    <row r="321" spans="13:13" x14ac:dyDescent="0.35">
      <c r="M321" s="235"/>
    </row>
    <row r="322" spans="13:13" x14ac:dyDescent="0.35">
      <c r="M322" s="235"/>
    </row>
    <row r="323" spans="13:13" x14ac:dyDescent="0.35">
      <c r="M323" s="235"/>
    </row>
    <row r="324" spans="13:13" x14ac:dyDescent="0.35">
      <c r="M324" s="235"/>
    </row>
    <row r="325" spans="13:13" x14ac:dyDescent="0.35">
      <c r="M325" s="235"/>
    </row>
    <row r="326" spans="13:13" x14ac:dyDescent="0.35">
      <c r="M326" s="235"/>
    </row>
    <row r="327" spans="13:13" x14ac:dyDescent="0.35">
      <c r="M327" s="235"/>
    </row>
    <row r="328" spans="13:13" x14ac:dyDescent="0.35">
      <c r="M328" s="235"/>
    </row>
    <row r="329" spans="13:13" x14ac:dyDescent="0.35">
      <c r="M329" s="235"/>
    </row>
    <row r="330" spans="13:13" x14ac:dyDescent="0.35">
      <c r="M330" s="235"/>
    </row>
    <row r="331" spans="13:13" x14ac:dyDescent="0.35">
      <c r="M331" s="235"/>
    </row>
    <row r="332" spans="13:13" x14ac:dyDescent="0.35">
      <c r="M332" s="235"/>
    </row>
    <row r="333" spans="13:13" x14ac:dyDescent="0.35">
      <c r="M333" s="235"/>
    </row>
    <row r="334" spans="13:13" x14ac:dyDescent="0.35">
      <c r="M334" s="235"/>
    </row>
    <row r="335" spans="13:13" x14ac:dyDescent="0.35">
      <c r="M335" s="235"/>
    </row>
    <row r="336" spans="13:13" x14ac:dyDescent="0.35">
      <c r="M336" s="235"/>
    </row>
    <row r="337" spans="13:13" x14ac:dyDescent="0.35">
      <c r="M337" s="235"/>
    </row>
    <row r="338" spans="13:13" x14ac:dyDescent="0.35">
      <c r="M338" s="235"/>
    </row>
    <row r="339" spans="13:13" x14ac:dyDescent="0.35">
      <c r="M339" s="235"/>
    </row>
    <row r="340" spans="13:13" x14ac:dyDescent="0.35">
      <c r="M340" s="235"/>
    </row>
    <row r="341" spans="13:13" x14ac:dyDescent="0.35">
      <c r="M341" s="235"/>
    </row>
    <row r="342" spans="13:13" x14ac:dyDescent="0.35">
      <c r="M342" s="235"/>
    </row>
    <row r="343" spans="13:13" x14ac:dyDescent="0.35">
      <c r="M343" s="235"/>
    </row>
    <row r="344" spans="13:13" x14ac:dyDescent="0.35">
      <c r="M344" s="235"/>
    </row>
    <row r="345" spans="13:13" x14ac:dyDescent="0.35">
      <c r="M345" s="235"/>
    </row>
    <row r="346" spans="13:13" x14ac:dyDescent="0.35">
      <c r="M346" s="235"/>
    </row>
    <row r="347" spans="13:13" x14ac:dyDescent="0.35">
      <c r="M347" s="235"/>
    </row>
    <row r="348" spans="13:13" x14ac:dyDescent="0.35">
      <c r="M348" s="235"/>
    </row>
    <row r="349" spans="13:13" x14ac:dyDescent="0.35">
      <c r="M349" s="235"/>
    </row>
    <row r="350" spans="13:13" x14ac:dyDescent="0.35">
      <c r="M350" s="235"/>
    </row>
    <row r="351" spans="13:13" x14ac:dyDescent="0.35">
      <c r="M351" s="235"/>
    </row>
    <row r="352" spans="13:13" x14ac:dyDescent="0.35">
      <c r="M352" s="235"/>
    </row>
    <row r="353" spans="13:13" x14ac:dyDescent="0.35">
      <c r="M353" s="235"/>
    </row>
    <row r="354" spans="13:13" x14ac:dyDescent="0.35">
      <c r="M354" s="235"/>
    </row>
  </sheetData>
  <mergeCells count="45">
    <mergeCell ref="E300:F300"/>
    <mergeCell ref="E303:F303"/>
    <mergeCell ref="E310:F310"/>
    <mergeCell ref="E250:F250"/>
    <mergeCell ref="E258:F258"/>
    <mergeCell ref="E264:F264"/>
    <mergeCell ref="E269:F269"/>
    <mergeCell ref="E272:F272"/>
    <mergeCell ref="E295:F295"/>
    <mergeCell ref="E244:F244"/>
    <mergeCell ref="E175:F175"/>
    <mergeCell ref="E181:F181"/>
    <mergeCell ref="E188:F188"/>
    <mergeCell ref="E192:F192"/>
    <mergeCell ref="E197:F197"/>
    <mergeCell ref="E200:F200"/>
    <mergeCell ref="E208:F208"/>
    <mergeCell ref="E224:F224"/>
    <mergeCell ref="E227:F227"/>
    <mergeCell ref="E231:F231"/>
    <mergeCell ref="E236:F236"/>
    <mergeCell ref="E169:F169"/>
    <mergeCell ref="E103:F103"/>
    <mergeCell ref="E106:F106"/>
    <mergeCell ref="E110:F110"/>
    <mergeCell ref="E117:F117"/>
    <mergeCell ref="E129:F129"/>
    <mergeCell ref="E136:F136"/>
    <mergeCell ref="E149:F149"/>
    <mergeCell ref="E164:F164"/>
    <mergeCell ref="E153:F153"/>
    <mergeCell ref="E156:F156"/>
    <mergeCell ref="E160:F160"/>
    <mergeCell ref="E98:F98"/>
    <mergeCell ref="E1:F1"/>
    <mergeCell ref="E10:F10"/>
    <mergeCell ref="E19:F19"/>
    <mergeCell ref="E24:F24"/>
    <mergeCell ref="E33:F33"/>
    <mergeCell ref="E59:F59"/>
    <mergeCell ref="E70:F70"/>
    <mergeCell ref="E76:F76"/>
    <mergeCell ref="E79:F79"/>
    <mergeCell ref="E14:F14"/>
    <mergeCell ref="E66:F66"/>
  </mergeCells>
  <hyperlinks>
    <hyperlink ref="E205" r:id="rId1" xr:uid="{7950DD83-9818-4FF0-BA9A-CCF561A5F43D}"/>
    <hyperlink ref="E98" r:id="rId2" xr:uid="{0A26927E-DD80-46BC-BABA-F9C0A3D68984}"/>
    <hyperlink ref="E103" r:id="rId3" xr:uid="{EE39E6D7-D99E-4C3F-889F-9FB65CCA6675}"/>
  </hyperlinks>
  <pageMargins left="0.7" right="0.7" top="0.75" bottom="0.75" header="0.3" footer="0.3"/>
  <pageSetup orientation="portrait" horizontalDpi="1200" verticalDpi="1200"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63D2-22C4-404B-B255-3201AE0A7358}">
  <dimension ref="A1:K66"/>
  <sheetViews>
    <sheetView topLeftCell="A43" zoomScale="136" zoomScaleNormal="136" workbookViewId="0">
      <selection activeCell="E45" sqref="E45"/>
    </sheetView>
  </sheetViews>
  <sheetFormatPr defaultColWidth="8.81640625" defaultRowHeight="11.5" x14ac:dyDescent="0.25"/>
  <cols>
    <col min="1" max="1" width="18.54296875" style="4" customWidth="1"/>
    <col min="2" max="2" width="41" style="2" customWidth="1"/>
    <col min="3" max="3" width="23" style="3" hidden="1" customWidth="1"/>
    <col min="4" max="4" width="23" style="1" customWidth="1"/>
    <col min="5" max="5" width="27.81640625" style="2" bestFit="1" customWidth="1"/>
    <col min="6" max="6" width="14.54296875" style="4" hidden="1" customWidth="1"/>
    <col min="7" max="7" width="14.1796875" style="4" hidden="1" customWidth="1"/>
    <col min="8" max="9" width="21.1796875" style="1" customWidth="1"/>
    <col min="10" max="10" width="18.81640625" style="1" customWidth="1"/>
    <col min="11" max="16384" width="8.81640625" style="1"/>
  </cols>
  <sheetData>
    <row r="1" spans="1:10" x14ac:dyDescent="0.25">
      <c r="A1" s="80"/>
      <c r="B1" s="81" t="s">
        <v>266</v>
      </c>
      <c r="C1" s="4"/>
      <c r="F1" s="1"/>
      <c r="G1" s="1"/>
    </row>
    <row r="4" spans="1:10" s="6" customFormat="1" ht="23" x14ac:dyDescent="0.25">
      <c r="A4" s="32" t="s">
        <v>51</v>
      </c>
      <c r="B4" s="32" t="s">
        <v>56</v>
      </c>
      <c r="C4" s="76" t="s">
        <v>378</v>
      </c>
      <c r="D4" s="177" t="s">
        <v>441</v>
      </c>
      <c r="E4" s="77" t="s">
        <v>438</v>
      </c>
      <c r="F4" s="32" t="s">
        <v>54</v>
      </c>
      <c r="G4" s="32" t="s">
        <v>55</v>
      </c>
      <c r="H4" s="177" t="s">
        <v>445</v>
      </c>
      <c r="I4" s="77" t="s">
        <v>282</v>
      </c>
      <c r="J4" s="13" t="s">
        <v>160</v>
      </c>
    </row>
    <row r="5" spans="1:10" s="4" customFormat="1" x14ac:dyDescent="0.25">
      <c r="A5" s="82" t="s">
        <v>150</v>
      </c>
      <c r="B5" s="8" t="s">
        <v>248</v>
      </c>
      <c r="C5" s="158"/>
      <c r="D5" s="9"/>
      <c r="E5" s="178" t="s">
        <v>218</v>
      </c>
      <c r="F5" s="11"/>
      <c r="G5" s="11"/>
      <c r="H5" s="66"/>
      <c r="I5" s="66"/>
      <c r="J5" s="11"/>
    </row>
    <row r="6" spans="1:10" s="4" customFormat="1" ht="43.5" customHeight="1" x14ac:dyDescent="0.35">
      <c r="A6" s="86" t="s">
        <v>96</v>
      </c>
      <c r="B6" s="34" t="s">
        <v>187</v>
      </c>
      <c r="C6" s="159" t="s">
        <v>132</v>
      </c>
      <c r="D6" s="8" t="s">
        <v>443</v>
      </c>
      <c r="E6" s="165" t="s">
        <v>219</v>
      </c>
      <c r="F6" s="35" t="s">
        <v>260</v>
      </c>
      <c r="G6" s="34"/>
      <c r="H6" s="8" t="s">
        <v>446</v>
      </c>
      <c r="I6" s="66" t="s">
        <v>218</v>
      </c>
      <c r="J6" s="11"/>
    </row>
    <row r="7" spans="1:10" ht="67.400000000000006" customHeight="1" x14ac:dyDescent="0.25">
      <c r="A7" s="82" t="s">
        <v>57</v>
      </c>
      <c r="B7" s="8" t="s">
        <v>569</v>
      </c>
      <c r="C7" s="152" t="s">
        <v>375</v>
      </c>
      <c r="D7" s="8" t="s">
        <v>374</v>
      </c>
      <c r="E7" s="180" t="s">
        <v>382</v>
      </c>
      <c r="F7" s="5" t="s">
        <v>376</v>
      </c>
      <c r="G7" s="5"/>
      <c r="H7" s="79" t="s">
        <v>218</v>
      </c>
      <c r="I7" s="36" t="s">
        <v>571</v>
      </c>
      <c r="J7" s="12"/>
    </row>
    <row r="8" spans="1:10" ht="44.9" customHeight="1" x14ac:dyDescent="0.25">
      <c r="A8" s="87" t="s">
        <v>59</v>
      </c>
      <c r="B8" s="22" t="s">
        <v>288</v>
      </c>
      <c r="C8" s="160" t="s">
        <v>285</v>
      </c>
      <c r="D8" s="23" t="s">
        <v>285</v>
      </c>
      <c r="E8" s="179" t="s">
        <v>444</v>
      </c>
      <c r="F8" s="20"/>
      <c r="G8" s="19" t="s">
        <v>133</v>
      </c>
      <c r="H8" s="79" t="s">
        <v>218</v>
      </c>
      <c r="I8" s="79" t="s">
        <v>218</v>
      </c>
      <c r="J8" s="9"/>
    </row>
    <row r="9" spans="1:10" ht="47.15" customHeight="1" x14ac:dyDescent="0.25">
      <c r="A9" s="85" t="s">
        <v>58</v>
      </c>
      <c r="B9" s="8" t="s">
        <v>0</v>
      </c>
      <c r="C9" s="152" t="s">
        <v>285</v>
      </c>
      <c r="D9" s="23" t="s">
        <v>285</v>
      </c>
      <c r="E9" s="179" t="s">
        <v>444</v>
      </c>
      <c r="F9" s="5"/>
      <c r="G9" s="5"/>
      <c r="H9" s="79" t="s">
        <v>218</v>
      </c>
      <c r="I9" s="79" t="s">
        <v>218</v>
      </c>
      <c r="J9" s="9"/>
    </row>
    <row r="10" spans="1:10" ht="100.4" customHeight="1" x14ac:dyDescent="0.25">
      <c r="A10" s="85" t="s">
        <v>60</v>
      </c>
      <c r="B10" s="8" t="s">
        <v>1</v>
      </c>
      <c r="C10" s="161" t="s">
        <v>238</v>
      </c>
      <c r="D10" s="23" t="s">
        <v>285</v>
      </c>
      <c r="E10" s="179" t="s">
        <v>444</v>
      </c>
      <c r="F10" s="5"/>
      <c r="G10" s="5"/>
      <c r="H10" s="79" t="s">
        <v>218</v>
      </c>
      <c r="I10" s="79" t="s">
        <v>218</v>
      </c>
      <c r="J10" s="9"/>
    </row>
    <row r="11" spans="1:10" ht="50.9" customHeight="1" x14ac:dyDescent="0.25">
      <c r="A11" s="85" t="s">
        <v>61</v>
      </c>
      <c r="B11" s="8" t="s">
        <v>2</v>
      </c>
      <c r="C11" s="152" t="s">
        <v>279</v>
      </c>
      <c r="D11" s="181" t="s">
        <v>447</v>
      </c>
      <c r="E11" s="174" t="s">
        <v>280</v>
      </c>
      <c r="F11" s="5" t="s">
        <v>281</v>
      </c>
      <c r="G11" s="5"/>
      <c r="H11" s="72" t="s">
        <v>279</v>
      </c>
      <c r="I11" s="36"/>
      <c r="J11" s="9"/>
    </row>
    <row r="12" spans="1:10" ht="59.9" customHeight="1" x14ac:dyDescent="0.25">
      <c r="A12" s="85" t="s">
        <v>79</v>
      </c>
      <c r="B12" s="8" t="s">
        <v>48</v>
      </c>
      <c r="C12" s="152" t="s">
        <v>14</v>
      </c>
      <c r="D12" s="7" t="s">
        <v>448</v>
      </c>
      <c r="E12" s="174" t="s">
        <v>227</v>
      </c>
      <c r="F12" s="5" t="s">
        <v>117</v>
      </c>
      <c r="G12" s="5"/>
      <c r="H12" s="10" t="s">
        <v>14</v>
      </c>
      <c r="I12" s="71"/>
      <c r="J12" s="9"/>
    </row>
    <row r="13" spans="1:10" ht="75.650000000000006" customHeight="1" x14ac:dyDescent="0.25">
      <c r="A13" s="11" t="s">
        <v>107</v>
      </c>
      <c r="B13" s="8" t="s">
        <v>108</v>
      </c>
      <c r="C13" s="152" t="s">
        <v>123</v>
      </c>
      <c r="D13" s="10" t="s">
        <v>449</v>
      </c>
      <c r="E13" s="167" t="s">
        <v>228</v>
      </c>
      <c r="F13" s="5" t="s">
        <v>118</v>
      </c>
      <c r="G13" s="5"/>
      <c r="H13" s="181" t="s">
        <v>123</v>
      </c>
      <c r="I13" s="74"/>
      <c r="J13" s="9"/>
    </row>
    <row r="14" spans="1:10" ht="82.5" customHeight="1" x14ac:dyDescent="0.25">
      <c r="A14" s="82" t="s">
        <v>140</v>
      </c>
      <c r="B14" s="8" t="s">
        <v>572</v>
      </c>
      <c r="C14" s="162" t="s">
        <v>379</v>
      </c>
      <c r="D14" s="28" t="s">
        <v>567</v>
      </c>
      <c r="E14" s="442" t="s">
        <v>566</v>
      </c>
      <c r="F14" s="12" t="s">
        <v>380</v>
      </c>
      <c r="G14" s="29"/>
      <c r="H14" s="66" t="s">
        <v>218</v>
      </c>
      <c r="I14" s="71" t="s">
        <v>560</v>
      </c>
      <c r="J14" s="9"/>
    </row>
    <row r="15" spans="1:10" ht="88.4" customHeight="1" x14ac:dyDescent="0.25">
      <c r="A15" s="82" t="s">
        <v>62</v>
      </c>
      <c r="B15" s="8" t="s">
        <v>47</v>
      </c>
      <c r="C15" s="152" t="s">
        <v>225</v>
      </c>
      <c r="D15" s="8" t="s">
        <v>467</v>
      </c>
      <c r="E15" s="165" t="s">
        <v>224</v>
      </c>
      <c r="F15" s="5" t="s">
        <v>226</v>
      </c>
      <c r="G15" s="5"/>
      <c r="H15" s="66"/>
      <c r="I15" s="66"/>
      <c r="J15" s="90" t="s">
        <v>270</v>
      </c>
    </row>
    <row r="16" spans="1:10" ht="62.15" customHeight="1" x14ac:dyDescent="0.25">
      <c r="A16" s="85" t="s">
        <v>63</v>
      </c>
      <c r="B16" s="8" t="s">
        <v>93</v>
      </c>
      <c r="C16" s="152" t="s">
        <v>353</v>
      </c>
      <c r="D16" s="10" t="s">
        <v>468</v>
      </c>
      <c r="E16" s="174" t="s">
        <v>355</v>
      </c>
      <c r="F16" s="5" t="s">
        <v>354</v>
      </c>
      <c r="G16" s="5"/>
      <c r="H16" s="36"/>
      <c r="I16" s="36"/>
      <c r="J16" s="9"/>
    </row>
    <row r="17" spans="1:11" ht="57" customHeight="1" x14ac:dyDescent="0.25">
      <c r="A17" s="82" t="s">
        <v>64</v>
      </c>
      <c r="B17" s="8" t="s">
        <v>3</v>
      </c>
      <c r="C17" s="152" t="s">
        <v>408</v>
      </c>
      <c r="D17" s="10" t="s">
        <v>406</v>
      </c>
      <c r="E17" s="188" t="s">
        <v>582</v>
      </c>
      <c r="F17" s="5" t="s">
        <v>409</v>
      </c>
      <c r="G17" s="5"/>
      <c r="H17" s="190" t="s">
        <v>218</v>
      </c>
      <c r="I17" s="71" t="s">
        <v>407</v>
      </c>
      <c r="J17" s="9"/>
    </row>
    <row r="18" spans="1:11" ht="63" customHeight="1" x14ac:dyDescent="0.25">
      <c r="A18" s="82" t="s">
        <v>178</v>
      </c>
      <c r="B18" s="8" t="s">
        <v>469</v>
      </c>
      <c r="C18" s="152" t="s">
        <v>179</v>
      </c>
      <c r="D18" s="10" t="s">
        <v>442</v>
      </c>
      <c r="E18" s="165" t="s">
        <v>220</v>
      </c>
      <c r="F18" s="5" t="s">
        <v>180</v>
      </c>
      <c r="G18" s="5" t="s">
        <v>181</v>
      </c>
      <c r="H18" s="66"/>
      <c r="I18" s="66" t="s">
        <v>293</v>
      </c>
      <c r="J18" s="12" t="s">
        <v>284</v>
      </c>
    </row>
    <row r="19" spans="1:11" ht="62.15" customHeight="1" x14ac:dyDescent="0.25">
      <c r="A19" s="85" t="s">
        <v>98</v>
      </c>
      <c r="B19" s="8" t="s">
        <v>99</v>
      </c>
      <c r="C19" s="152" t="s">
        <v>272</v>
      </c>
      <c r="D19" s="8" t="s">
        <v>465</v>
      </c>
      <c r="E19" s="166" t="s">
        <v>229</v>
      </c>
      <c r="F19" s="5" t="s">
        <v>103</v>
      </c>
      <c r="G19" s="5"/>
      <c r="H19" s="194" t="s">
        <v>479</v>
      </c>
      <c r="I19" s="71"/>
      <c r="J19" s="8"/>
    </row>
    <row r="20" spans="1:11" ht="71.900000000000006" customHeight="1" x14ac:dyDescent="0.25">
      <c r="A20" s="85" t="s">
        <v>65</v>
      </c>
      <c r="B20" s="8" t="s">
        <v>4</v>
      </c>
      <c r="C20" s="152" t="s">
        <v>267</v>
      </c>
      <c r="D20" s="10" t="s">
        <v>550</v>
      </c>
      <c r="E20" s="168" t="s">
        <v>551</v>
      </c>
      <c r="F20" s="5"/>
      <c r="G20" s="5"/>
      <c r="H20" s="71"/>
      <c r="I20" s="36"/>
      <c r="J20" s="8" t="s">
        <v>556</v>
      </c>
    </row>
    <row r="21" spans="1:11" ht="71.900000000000006" customHeight="1" x14ac:dyDescent="0.25">
      <c r="A21" s="85" t="s">
        <v>66</v>
      </c>
      <c r="B21" s="8" t="s">
        <v>5</v>
      </c>
      <c r="C21" s="152" t="s">
        <v>273</v>
      </c>
      <c r="D21" s="8" t="s">
        <v>470</v>
      </c>
      <c r="E21" s="166" t="s">
        <v>230</v>
      </c>
      <c r="F21" s="5" t="s">
        <v>16</v>
      </c>
      <c r="G21" s="5"/>
      <c r="H21" s="194" t="s">
        <v>273</v>
      </c>
      <c r="I21" s="71"/>
      <c r="J21" s="9"/>
    </row>
    <row r="22" spans="1:11" ht="71.900000000000006" customHeight="1" x14ac:dyDescent="0.25">
      <c r="A22" s="85" t="s">
        <v>183</v>
      </c>
      <c r="B22" s="8" t="s">
        <v>184</v>
      </c>
      <c r="C22" s="152" t="s">
        <v>416</v>
      </c>
      <c r="D22" s="10" t="s">
        <v>484</v>
      </c>
      <c r="E22" s="191" t="s">
        <v>485</v>
      </c>
      <c r="F22" s="5" t="s">
        <v>417</v>
      </c>
      <c r="G22" s="5"/>
      <c r="H22" s="186"/>
      <c r="I22" s="71"/>
      <c r="J22" s="5" t="s">
        <v>269</v>
      </c>
    </row>
    <row r="23" spans="1:11" ht="46" x14ac:dyDescent="0.25">
      <c r="A23" s="84" t="s">
        <v>67</v>
      </c>
      <c r="B23" s="8" t="s">
        <v>580</v>
      </c>
      <c r="C23" s="152" t="s">
        <v>373</v>
      </c>
      <c r="D23" s="8" t="s">
        <v>462</v>
      </c>
      <c r="E23" s="192" t="s">
        <v>463</v>
      </c>
      <c r="F23" s="5" t="s">
        <v>372</v>
      </c>
      <c r="G23" s="5"/>
      <c r="H23" s="193" t="s">
        <v>218</v>
      </c>
      <c r="I23" s="193" t="s">
        <v>464</v>
      </c>
      <c r="J23" s="8" t="s">
        <v>530</v>
      </c>
    </row>
    <row r="24" spans="1:11" ht="43" customHeight="1" x14ac:dyDescent="0.25">
      <c r="A24" s="85" t="s">
        <v>410</v>
      </c>
      <c r="B24" s="8" t="s">
        <v>411</v>
      </c>
      <c r="C24" s="152" t="s">
        <v>412</v>
      </c>
      <c r="D24" s="7"/>
      <c r="E24" s="23" t="s">
        <v>444</v>
      </c>
      <c r="F24" s="20"/>
      <c r="G24" s="19" t="s">
        <v>133</v>
      </c>
      <c r="H24" s="79" t="s">
        <v>218</v>
      </c>
      <c r="I24" s="79" t="s">
        <v>218</v>
      </c>
      <c r="J24" s="10" t="s">
        <v>413</v>
      </c>
    </row>
    <row r="25" spans="1:11" ht="47.15" customHeight="1" x14ac:dyDescent="0.25">
      <c r="A25" s="85" t="s">
        <v>84</v>
      </c>
      <c r="B25" s="8" t="s">
        <v>130</v>
      </c>
      <c r="C25" s="152" t="s">
        <v>87</v>
      </c>
      <c r="D25" s="8" t="s">
        <v>471</v>
      </c>
      <c r="E25" s="169" t="s">
        <v>274</v>
      </c>
      <c r="F25" s="5" t="s">
        <v>89</v>
      </c>
      <c r="G25" s="5"/>
      <c r="H25" s="5" t="s">
        <v>87</v>
      </c>
      <c r="I25" s="56"/>
      <c r="J25" s="9"/>
    </row>
    <row r="26" spans="1:11" ht="47.15" customHeight="1" x14ac:dyDescent="0.25">
      <c r="A26" s="82" t="s">
        <v>106</v>
      </c>
      <c r="B26" s="8" t="s">
        <v>137</v>
      </c>
      <c r="C26" s="161" t="s">
        <v>104</v>
      </c>
      <c r="E26" s="23" t="s">
        <v>444</v>
      </c>
      <c r="F26" s="20"/>
      <c r="G26" s="19" t="s">
        <v>133</v>
      </c>
      <c r="H26" s="23" t="s">
        <v>218</v>
      </c>
      <c r="I26" s="79" t="s">
        <v>218</v>
      </c>
      <c r="J26" s="66"/>
      <c r="K26" s="182"/>
    </row>
    <row r="27" spans="1:11" ht="47.15" customHeight="1" x14ac:dyDescent="0.25">
      <c r="A27" s="85" t="s">
        <v>68</v>
      </c>
      <c r="B27" s="8" t="s">
        <v>6</v>
      </c>
      <c r="C27" s="152" t="s">
        <v>12</v>
      </c>
      <c r="D27" s="8" t="s">
        <v>472</v>
      </c>
      <c r="E27" s="166" t="s">
        <v>234</v>
      </c>
      <c r="F27" s="5" t="s">
        <v>17</v>
      </c>
      <c r="G27" s="5"/>
      <c r="H27" s="5" t="s">
        <v>12</v>
      </c>
      <c r="I27" s="71"/>
      <c r="J27" s="9"/>
    </row>
    <row r="28" spans="1:11" ht="47.15" customHeight="1" x14ac:dyDescent="0.25">
      <c r="A28" s="85" t="s">
        <v>68</v>
      </c>
      <c r="B28" s="8" t="s">
        <v>159</v>
      </c>
      <c r="C28" s="152" t="s">
        <v>275</v>
      </c>
      <c r="D28" s="8"/>
      <c r="E28" s="23" t="s">
        <v>444</v>
      </c>
      <c r="F28" s="20"/>
      <c r="G28" s="19" t="s">
        <v>133</v>
      </c>
      <c r="H28" s="23" t="s">
        <v>218</v>
      </c>
      <c r="I28" s="79" t="s">
        <v>218</v>
      </c>
      <c r="J28" s="9"/>
    </row>
    <row r="29" spans="1:11" ht="47.15" customHeight="1" x14ac:dyDescent="0.25">
      <c r="A29" s="85" t="s">
        <v>541</v>
      </c>
      <c r="B29" s="8" t="s">
        <v>547</v>
      </c>
      <c r="C29" s="11" t="s">
        <v>546</v>
      </c>
      <c r="D29" s="8" t="s">
        <v>548</v>
      </c>
      <c r="E29" s="436" t="s">
        <v>549</v>
      </c>
      <c r="F29" s="94"/>
      <c r="G29" s="142"/>
      <c r="H29" s="403"/>
      <c r="I29" s="56"/>
      <c r="J29" s="437"/>
    </row>
    <row r="30" spans="1:11" s="31" customFormat="1" ht="47.15" customHeight="1" x14ac:dyDescent="0.25">
      <c r="A30" s="27" t="s">
        <v>329</v>
      </c>
      <c r="B30" s="8" t="s">
        <v>357</v>
      </c>
      <c r="C30" s="162"/>
      <c r="D30" s="8" t="s">
        <v>587</v>
      </c>
      <c r="E30" s="472" t="s">
        <v>589</v>
      </c>
      <c r="F30" s="419"/>
      <c r="G30" s="420"/>
      <c r="H30" s="27" t="s">
        <v>588</v>
      </c>
      <c r="I30" s="55"/>
      <c r="J30" s="30"/>
    </row>
    <row r="31" spans="1:11" ht="54" customHeight="1" x14ac:dyDescent="0.25">
      <c r="A31" s="85" t="s">
        <v>77</v>
      </c>
      <c r="B31" s="8" t="s">
        <v>82</v>
      </c>
      <c r="C31" s="152" t="s">
        <v>13</v>
      </c>
      <c r="D31" s="8" t="s">
        <v>473</v>
      </c>
      <c r="E31" s="167" t="s">
        <v>231</v>
      </c>
      <c r="F31" s="5" t="s">
        <v>125</v>
      </c>
      <c r="G31" s="5"/>
      <c r="H31" s="5" t="s">
        <v>13</v>
      </c>
      <c r="I31" s="74"/>
      <c r="J31" s="9"/>
    </row>
    <row r="32" spans="1:11" ht="54" customHeight="1" x14ac:dyDescent="0.25">
      <c r="A32" s="82" t="s">
        <v>163</v>
      </c>
      <c r="B32" s="8" t="s">
        <v>164</v>
      </c>
      <c r="C32" s="152" t="s">
        <v>165</v>
      </c>
      <c r="D32" s="10" t="s">
        <v>368</v>
      </c>
      <c r="E32" s="165" t="s">
        <v>221</v>
      </c>
      <c r="F32" s="5" t="s">
        <v>158</v>
      </c>
      <c r="G32" s="5"/>
      <c r="H32" s="11" t="s">
        <v>218</v>
      </c>
      <c r="I32" s="66" t="s">
        <v>369</v>
      </c>
      <c r="J32" s="9"/>
    </row>
    <row r="33" spans="1:10" ht="54.65" customHeight="1" x14ac:dyDescent="0.25">
      <c r="A33" s="85" t="s">
        <v>69</v>
      </c>
      <c r="B33" s="8" t="s">
        <v>42</v>
      </c>
      <c r="C33" s="161" t="s">
        <v>133</v>
      </c>
      <c r="D33" s="23" t="s">
        <v>285</v>
      </c>
      <c r="E33" s="179" t="s">
        <v>444</v>
      </c>
      <c r="F33" s="20"/>
      <c r="G33" s="19" t="s">
        <v>133</v>
      </c>
      <c r="H33" s="23" t="s">
        <v>218</v>
      </c>
      <c r="I33" s="79" t="s">
        <v>218</v>
      </c>
      <c r="J33" s="9"/>
    </row>
    <row r="34" spans="1:10" ht="45.65" customHeight="1" x14ac:dyDescent="0.25">
      <c r="A34" s="85" t="s">
        <v>71</v>
      </c>
      <c r="B34" s="8" t="s">
        <v>7</v>
      </c>
      <c r="C34" s="161" t="s">
        <v>133</v>
      </c>
      <c r="D34" s="23" t="s">
        <v>285</v>
      </c>
      <c r="E34" s="179" t="s">
        <v>444</v>
      </c>
      <c r="F34" s="20"/>
      <c r="G34" s="19" t="s">
        <v>133</v>
      </c>
      <c r="H34" s="23" t="s">
        <v>218</v>
      </c>
      <c r="I34" s="79" t="s">
        <v>218</v>
      </c>
      <c r="J34" s="9"/>
    </row>
    <row r="35" spans="1:10" ht="43.4" customHeight="1" x14ac:dyDescent="0.25">
      <c r="A35" s="85" t="s">
        <v>76</v>
      </c>
      <c r="B35" s="8" t="s">
        <v>46</v>
      </c>
      <c r="C35" s="152" t="s">
        <v>276</v>
      </c>
      <c r="D35" s="8" t="s">
        <v>474</v>
      </c>
      <c r="E35" s="166" t="s">
        <v>277</v>
      </c>
      <c r="F35" s="5" t="s">
        <v>21</v>
      </c>
      <c r="G35" s="5"/>
      <c r="H35" s="5" t="s">
        <v>276</v>
      </c>
      <c r="I35" s="71"/>
      <c r="J35" s="9"/>
    </row>
    <row r="36" spans="1:10" ht="76.400000000000006" customHeight="1" x14ac:dyDescent="0.25">
      <c r="A36" s="82" t="s">
        <v>127</v>
      </c>
      <c r="B36" s="8" t="s">
        <v>581</v>
      </c>
      <c r="C36" s="152" t="s">
        <v>356</v>
      </c>
      <c r="D36" s="10" t="s">
        <v>480</v>
      </c>
      <c r="E36" s="165" t="s">
        <v>452</v>
      </c>
      <c r="F36" s="5" t="s">
        <v>182</v>
      </c>
      <c r="G36" s="5"/>
      <c r="H36" s="11" t="s">
        <v>218</v>
      </c>
      <c r="I36" s="66" t="s">
        <v>564</v>
      </c>
      <c r="J36" s="9"/>
    </row>
    <row r="37" spans="1:10" ht="76.400000000000006" customHeight="1" x14ac:dyDescent="0.25">
      <c r="A37" s="85" t="s">
        <v>389</v>
      </c>
      <c r="B37" s="28" t="s">
        <v>390</v>
      </c>
      <c r="C37" s="152" t="s">
        <v>404</v>
      </c>
      <c r="D37" s="8" t="s">
        <v>475</v>
      </c>
      <c r="F37" s="5"/>
      <c r="G37" s="5"/>
      <c r="H37" s="5" t="s">
        <v>404</v>
      </c>
      <c r="I37" s="66"/>
      <c r="J37" s="9"/>
    </row>
    <row r="38" spans="1:10" ht="57.5" x14ac:dyDescent="0.25">
      <c r="A38" s="82" t="s">
        <v>72</v>
      </c>
      <c r="B38" s="8" t="s">
        <v>151</v>
      </c>
      <c r="C38" s="152" t="s">
        <v>268</v>
      </c>
      <c r="D38" s="9"/>
      <c r="E38" s="165"/>
      <c r="F38" s="5" t="s">
        <v>122</v>
      </c>
      <c r="G38" s="5" t="s">
        <v>177</v>
      </c>
      <c r="H38" s="11"/>
      <c r="I38" s="66"/>
      <c r="J38" s="9"/>
    </row>
    <row r="39" spans="1:10" ht="60.65" customHeight="1" x14ac:dyDescent="0.25">
      <c r="A39" s="82" t="s">
        <v>439</v>
      </c>
      <c r="B39" s="8" t="s">
        <v>440</v>
      </c>
      <c r="C39" s="152"/>
      <c r="D39" s="8" t="s">
        <v>527</v>
      </c>
      <c r="E39" s="396" t="s">
        <v>528</v>
      </c>
      <c r="F39" s="5"/>
      <c r="G39" s="5"/>
      <c r="H39" s="11" t="s">
        <v>218</v>
      </c>
      <c r="I39" s="66" t="s">
        <v>529</v>
      </c>
      <c r="J39" s="9"/>
    </row>
    <row r="40" spans="1:10" ht="54" customHeight="1" x14ac:dyDescent="0.25">
      <c r="A40" s="85" t="s">
        <v>100</v>
      </c>
      <c r="B40" s="8" t="s">
        <v>101</v>
      </c>
      <c r="C40" s="163" t="s">
        <v>239</v>
      </c>
      <c r="D40" s="30"/>
      <c r="E40" s="23" t="s">
        <v>444</v>
      </c>
      <c r="F40" s="20"/>
      <c r="G40" s="19" t="s">
        <v>133</v>
      </c>
      <c r="H40" s="23" t="s">
        <v>218</v>
      </c>
      <c r="I40" s="79" t="s">
        <v>218</v>
      </c>
      <c r="J40" s="9"/>
    </row>
    <row r="41" spans="1:10" ht="48" customHeight="1" x14ac:dyDescent="0.25">
      <c r="A41" s="82" t="s">
        <v>185</v>
      </c>
      <c r="B41" s="8" t="s">
        <v>186</v>
      </c>
      <c r="C41" s="152" t="s">
        <v>437</v>
      </c>
      <c r="D41" s="8" t="s">
        <v>433</v>
      </c>
      <c r="E41" s="168" t="s">
        <v>461</v>
      </c>
      <c r="F41" s="5" t="s">
        <v>436</v>
      </c>
      <c r="G41" s="5"/>
      <c r="H41" s="36" t="s">
        <v>218</v>
      </c>
      <c r="I41" s="66" t="s">
        <v>435</v>
      </c>
      <c r="J41" s="9"/>
    </row>
    <row r="42" spans="1:10" ht="56.9" customHeight="1" x14ac:dyDescent="0.25">
      <c r="A42" s="85" t="s">
        <v>73</v>
      </c>
      <c r="B42" s="8" t="s">
        <v>8</v>
      </c>
      <c r="C42" s="152" t="s">
        <v>278</v>
      </c>
      <c r="D42" s="8" t="s">
        <v>476</v>
      </c>
      <c r="E42" s="166" t="s">
        <v>232</v>
      </c>
      <c r="F42" s="5" t="s">
        <v>18</v>
      </c>
      <c r="G42" s="5"/>
      <c r="H42" s="5" t="s">
        <v>278</v>
      </c>
      <c r="I42" s="71"/>
      <c r="J42" s="9"/>
    </row>
    <row r="43" spans="1:10" ht="56.9" customHeight="1" x14ac:dyDescent="0.25">
      <c r="A43" s="85" t="s">
        <v>261</v>
      </c>
      <c r="B43" s="8" t="s">
        <v>147</v>
      </c>
      <c r="C43" s="152" t="s">
        <v>167</v>
      </c>
      <c r="D43" s="8" t="s">
        <v>477</v>
      </c>
      <c r="E43" s="166" t="s">
        <v>235</v>
      </c>
      <c r="F43" s="5" t="s">
        <v>168</v>
      </c>
      <c r="G43" s="5"/>
      <c r="H43" s="5" t="s">
        <v>167</v>
      </c>
      <c r="I43" s="71"/>
      <c r="J43" s="9"/>
    </row>
    <row r="44" spans="1:10" ht="51" customHeight="1" x14ac:dyDescent="0.25">
      <c r="A44" s="85" t="s">
        <v>262</v>
      </c>
      <c r="B44" s="10" t="s">
        <v>9</v>
      </c>
      <c r="C44" s="152" t="s">
        <v>128</v>
      </c>
      <c r="D44" s="8" t="s">
        <v>129</v>
      </c>
      <c r="E44" s="195" t="s">
        <v>222</v>
      </c>
      <c r="F44" s="5" t="s">
        <v>129</v>
      </c>
      <c r="G44" s="5"/>
      <c r="H44" s="5" t="s">
        <v>128</v>
      </c>
      <c r="I44" s="55"/>
      <c r="J44" s="9"/>
    </row>
    <row r="45" spans="1:10" ht="67.400000000000006" customHeight="1" x14ac:dyDescent="0.25">
      <c r="A45" s="85" t="s">
        <v>74</v>
      </c>
      <c r="B45" s="8" t="s">
        <v>81</v>
      </c>
      <c r="C45" s="152" t="s">
        <v>271</v>
      </c>
      <c r="D45" s="8" t="s">
        <v>590</v>
      </c>
      <c r="E45" s="498" t="s">
        <v>218</v>
      </c>
      <c r="F45" s="5" t="s">
        <v>19</v>
      </c>
      <c r="G45" s="5"/>
      <c r="H45" s="5" t="s">
        <v>591</v>
      </c>
      <c r="I45" s="5"/>
      <c r="J45" s="25"/>
    </row>
    <row r="46" spans="1:10" ht="36.65" customHeight="1" x14ac:dyDescent="0.25">
      <c r="A46" s="85" t="s">
        <v>80</v>
      </c>
      <c r="B46" s="8" t="s">
        <v>11</v>
      </c>
      <c r="C46" s="161" t="s">
        <v>15</v>
      </c>
      <c r="D46" s="23" t="s">
        <v>285</v>
      </c>
      <c r="E46" s="179" t="s">
        <v>444</v>
      </c>
      <c r="F46" s="5"/>
      <c r="G46" s="5"/>
      <c r="H46" s="23" t="s">
        <v>218</v>
      </c>
      <c r="I46" s="79" t="s">
        <v>218</v>
      </c>
      <c r="J46" s="9"/>
    </row>
    <row r="47" spans="1:10" ht="36.65" customHeight="1" x14ac:dyDescent="0.25">
      <c r="A47" s="88" t="s">
        <v>138</v>
      </c>
      <c r="B47" s="28" t="s">
        <v>152</v>
      </c>
      <c r="C47" s="164" t="s">
        <v>149</v>
      </c>
      <c r="D47" s="28" t="s">
        <v>148</v>
      </c>
      <c r="E47" s="166" t="s">
        <v>233</v>
      </c>
      <c r="F47" s="29" t="s">
        <v>148</v>
      </c>
      <c r="G47" s="29"/>
      <c r="H47" s="28" t="s">
        <v>149</v>
      </c>
      <c r="I47" s="71"/>
      <c r="J47" s="9"/>
    </row>
    <row r="48" spans="1:10" ht="56.9" customHeight="1" x14ac:dyDescent="0.25">
      <c r="A48" s="85" t="s">
        <v>75</v>
      </c>
      <c r="B48" s="8" t="s">
        <v>10</v>
      </c>
      <c r="C48" s="152" t="s">
        <v>120</v>
      </c>
      <c r="D48" s="8" t="s">
        <v>478</v>
      </c>
      <c r="E48" s="166" t="s">
        <v>223</v>
      </c>
      <c r="F48" s="5" t="s">
        <v>20</v>
      </c>
      <c r="G48" s="5"/>
      <c r="H48" s="5" t="s">
        <v>120</v>
      </c>
      <c r="I48" s="71"/>
      <c r="J48" s="9"/>
    </row>
    <row r="49" spans="1:10" ht="56.9" customHeight="1" x14ac:dyDescent="0.25">
      <c r="A49" s="124" t="s">
        <v>386</v>
      </c>
      <c r="B49" s="125" t="s">
        <v>387</v>
      </c>
      <c r="C49" s="152" t="s">
        <v>423</v>
      </c>
      <c r="D49" s="8" t="s">
        <v>466</v>
      </c>
      <c r="E49" s="196"/>
      <c r="F49" s="5" t="s">
        <v>415</v>
      </c>
      <c r="G49" s="5"/>
      <c r="H49" s="5" t="s">
        <v>423</v>
      </c>
      <c r="I49" s="36"/>
      <c r="J49" s="9"/>
    </row>
    <row r="50" spans="1:10" ht="12" thickBot="1" x14ac:dyDescent="0.3">
      <c r="A50" s="57"/>
      <c r="B50" s="58"/>
      <c r="C50" s="149"/>
      <c r="D50" s="151"/>
      <c r="E50" s="170"/>
      <c r="F50" s="150"/>
      <c r="G50" s="150"/>
    </row>
    <row r="51" spans="1:10" ht="15" customHeight="1" x14ac:dyDescent="0.25">
      <c r="B51" s="7"/>
    </row>
    <row r="52" spans="1:10" ht="36.65" customHeight="1" x14ac:dyDescent="0.25">
      <c r="A52" s="11" t="s">
        <v>241</v>
      </c>
      <c r="B52" s="8" t="s">
        <v>243</v>
      </c>
      <c r="C52" s="12"/>
      <c r="D52" s="9"/>
      <c r="E52" s="171"/>
      <c r="F52" s="11"/>
      <c r="G52" s="11"/>
    </row>
    <row r="53" spans="1:10" ht="36.65" customHeight="1" x14ac:dyDescent="0.25">
      <c r="A53" s="11" t="s">
        <v>241</v>
      </c>
      <c r="B53" s="8" t="s">
        <v>243</v>
      </c>
      <c r="C53" s="12"/>
      <c r="D53" s="9"/>
      <c r="E53" s="171"/>
      <c r="F53" s="11"/>
      <c r="G53" s="11"/>
    </row>
    <row r="54" spans="1:10" ht="56.5" customHeight="1" x14ac:dyDescent="0.25">
      <c r="A54" s="11" t="s">
        <v>67</v>
      </c>
      <c r="B54" s="8" t="s">
        <v>244</v>
      </c>
      <c r="C54" s="5" t="s">
        <v>292</v>
      </c>
      <c r="D54" s="9"/>
      <c r="E54" s="171"/>
      <c r="F54" s="11"/>
      <c r="G54" s="11"/>
    </row>
    <row r="55" spans="1:10" ht="48" customHeight="1" x14ac:dyDescent="0.25">
      <c r="A55" s="11" t="s">
        <v>67</v>
      </c>
      <c r="B55" s="8" t="s">
        <v>244</v>
      </c>
      <c r="C55" s="5" t="s">
        <v>292</v>
      </c>
      <c r="D55" s="9"/>
      <c r="E55" s="171"/>
      <c r="F55" s="11"/>
      <c r="G55" s="11"/>
    </row>
    <row r="56" spans="1:10" ht="46" x14ac:dyDescent="0.25">
      <c r="A56" s="11" t="s">
        <v>242</v>
      </c>
      <c r="B56" s="8" t="s">
        <v>245</v>
      </c>
      <c r="C56" s="64" t="s">
        <v>247</v>
      </c>
      <c r="D56" s="176"/>
      <c r="E56" s="171"/>
      <c r="F56" s="11"/>
      <c r="G56" s="11"/>
    </row>
    <row r="57" spans="1:10" ht="36.65" customHeight="1" x14ac:dyDescent="0.25">
      <c r="A57" s="11" t="s">
        <v>242</v>
      </c>
      <c r="B57" s="8" t="s">
        <v>245</v>
      </c>
      <c r="C57" s="64" t="s">
        <v>247</v>
      </c>
      <c r="D57" s="176"/>
      <c r="E57" s="171"/>
      <c r="F57" s="11"/>
      <c r="G57" s="11"/>
    </row>
    <row r="58" spans="1:10" ht="15" customHeight="1" x14ac:dyDescent="0.25">
      <c r="B58" s="7"/>
    </row>
    <row r="60" spans="1:10" s="15" customFormat="1" ht="77.900000000000006" customHeight="1" x14ac:dyDescent="0.25">
      <c r="A60" s="13" t="s">
        <v>85</v>
      </c>
      <c r="B60" s="14" t="s">
        <v>86</v>
      </c>
      <c r="C60" s="17"/>
      <c r="D60" s="16"/>
      <c r="E60" s="8" t="s">
        <v>240</v>
      </c>
      <c r="F60" s="13"/>
      <c r="G60" s="13"/>
      <c r="H60" s="4"/>
      <c r="I60" s="4"/>
    </row>
    <row r="61" spans="1:10" ht="79.5" customHeight="1" x14ac:dyDescent="0.25">
      <c r="A61" s="11" t="s">
        <v>83</v>
      </c>
      <c r="B61" s="10" t="s">
        <v>44</v>
      </c>
      <c r="C61" s="12" t="s">
        <v>237</v>
      </c>
      <c r="D61" s="9"/>
      <c r="E61" s="172" t="s">
        <v>236</v>
      </c>
      <c r="F61" s="11" t="s">
        <v>134</v>
      </c>
      <c r="G61" s="11" t="s">
        <v>135</v>
      </c>
      <c r="H61" s="91"/>
      <c r="I61" s="91"/>
    </row>
    <row r="62" spans="1:10" ht="42" customHeight="1" x14ac:dyDescent="0.25">
      <c r="A62" s="11" t="s">
        <v>110</v>
      </c>
      <c r="B62" s="8" t="s">
        <v>111</v>
      </c>
      <c r="C62" s="5"/>
      <c r="D62" s="9"/>
      <c r="E62" s="14"/>
      <c r="F62" s="5"/>
      <c r="G62" s="5"/>
      <c r="H62" s="6"/>
      <c r="I62" s="6"/>
    </row>
    <row r="63" spans="1:10" s="15" customFormat="1" ht="51" customHeight="1" x14ac:dyDescent="0.25">
      <c r="A63" s="13" t="s">
        <v>114</v>
      </c>
      <c r="B63" s="14" t="s">
        <v>115</v>
      </c>
      <c r="C63" s="17"/>
      <c r="D63" s="16"/>
      <c r="E63" s="173"/>
      <c r="F63" s="13"/>
      <c r="G63" s="13"/>
    </row>
    <row r="64" spans="1:10" ht="39" customHeight="1" x14ac:dyDescent="0.25">
      <c r="A64" s="11" t="s">
        <v>70</v>
      </c>
      <c r="B64" s="8" t="s">
        <v>45</v>
      </c>
      <c r="C64" s="5" t="s">
        <v>144</v>
      </c>
      <c r="D64" s="9"/>
      <c r="E64" s="174"/>
      <c r="F64" s="5" t="s">
        <v>145</v>
      </c>
      <c r="G64" s="5"/>
      <c r="H64" s="89"/>
      <c r="I64" s="89"/>
    </row>
    <row r="65" spans="1:9" ht="34.5" x14ac:dyDescent="0.25">
      <c r="A65" s="11" t="s">
        <v>78</v>
      </c>
      <c r="B65" s="8" t="s">
        <v>41</v>
      </c>
      <c r="C65" s="5" t="s">
        <v>119</v>
      </c>
      <c r="D65" s="9"/>
      <c r="E65" s="175" t="s">
        <v>263</v>
      </c>
      <c r="F65" s="5" t="s">
        <v>22</v>
      </c>
      <c r="G65" s="5"/>
      <c r="H65" s="92"/>
      <c r="I65" s="92"/>
    </row>
    <row r="66" spans="1:9" s="4" customFormat="1" ht="56.5" customHeight="1" x14ac:dyDescent="0.25">
      <c r="A66" s="11" t="s">
        <v>215</v>
      </c>
      <c r="B66" s="8" t="s">
        <v>216</v>
      </c>
      <c r="C66" s="11"/>
      <c r="D66" s="9"/>
      <c r="E66" s="8"/>
      <c r="F66" s="11"/>
      <c r="G66" s="11"/>
    </row>
  </sheetData>
  <hyperlinks>
    <hyperlink ref="E61" r:id="rId1" display="daniel-collins@uiowa.edu_x000a_" xr:uid="{6E84905B-0BDA-4FD9-A6C7-2D6C417B1795}"/>
    <hyperlink ref="E25" r:id="rId2" xr:uid="{A48BA9D6-3BDC-4999-ABE8-03929586254A}"/>
    <hyperlink ref="E7" r:id="rId3" xr:uid="{96162D2F-6C8E-410B-958F-B6D1B1D6B9B6}"/>
    <hyperlink ref="E17" r:id="rId4" display="MStepek@doeren.com" xr:uid="{F118B477-AA48-4FB8-82E0-DEF88AD64BF3}"/>
    <hyperlink ref="E39" r:id="rId5" xr:uid="{D11344E0-29D8-4626-BB16-7CBCB6B68FC5}"/>
    <hyperlink ref="E29" r:id="rId6" display="mailto:lbarkman@deloitte.com" xr:uid="{A0238788-B00F-43BF-8758-DEEC0D755D66}"/>
    <hyperlink ref="E30" r:id="rId7" display="mailto:lisacarroll@kpmg.com" xr:uid="{62CF684D-FA4C-4968-ABC9-813F42677DF4}"/>
  </hyperlinks>
  <pageMargins left="0.7" right="0.7" top="0.75" bottom="0.75" header="0.3" footer="0.3"/>
  <pageSetup orientation="portrait" r:id="rId8"/>
  <legacy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CCBAC-B6DF-49C3-88BC-C3E397D91478}">
  <dimension ref="A1:L26"/>
  <sheetViews>
    <sheetView zoomScale="188" zoomScaleNormal="188" workbookViewId="0">
      <pane ySplit="1" topLeftCell="A3" activePane="bottomLeft" state="frozen"/>
      <selection pane="bottomLeft" activeCell="A6" sqref="A6"/>
    </sheetView>
  </sheetViews>
  <sheetFormatPr defaultColWidth="34.1796875" defaultRowHeight="15.5" x14ac:dyDescent="0.35"/>
  <cols>
    <col min="1" max="1" width="24.81640625" style="118" customWidth="1"/>
    <col min="2" max="2" width="22.1796875" style="118" customWidth="1"/>
    <col min="3" max="3" width="32.54296875" style="118" customWidth="1"/>
    <col min="4" max="4" width="15.54296875" style="118" customWidth="1"/>
    <col min="5" max="5" width="18.81640625" style="118" customWidth="1"/>
    <col min="6" max="6" width="20.81640625" style="118" customWidth="1"/>
    <col min="7" max="7" width="16.1796875" style="118" customWidth="1"/>
    <col min="8" max="8" width="13.1796875" style="118" customWidth="1"/>
    <col min="9" max="9" width="15.1796875" style="118" customWidth="1"/>
    <col min="10" max="10" width="17" style="118" customWidth="1"/>
    <col min="11" max="11" width="37.1796875" style="118" customWidth="1"/>
    <col min="12" max="16384" width="34.1796875" style="118"/>
  </cols>
  <sheetData>
    <row r="1" spans="1:12" ht="45" x14ac:dyDescent="0.35">
      <c r="A1" s="119" t="s">
        <v>361</v>
      </c>
      <c r="B1" s="120" t="s">
        <v>362</v>
      </c>
      <c r="C1" s="120" t="s">
        <v>363</v>
      </c>
      <c r="D1" s="119" t="s">
        <v>364</v>
      </c>
      <c r="E1" s="119" t="s">
        <v>425</v>
      </c>
      <c r="F1" s="119" t="s">
        <v>426</v>
      </c>
      <c r="G1" s="119" t="s">
        <v>381</v>
      </c>
      <c r="H1" s="119" t="s">
        <v>365</v>
      </c>
      <c r="I1" s="119" t="s">
        <v>366</v>
      </c>
      <c r="J1" s="119" t="s">
        <v>367</v>
      </c>
      <c r="K1" s="120" t="s">
        <v>160</v>
      </c>
    </row>
    <row r="3" spans="1:12" x14ac:dyDescent="0.35">
      <c r="A3" s="118" t="s">
        <v>570</v>
      </c>
      <c r="B3" s="118" t="s">
        <v>374</v>
      </c>
      <c r="C3" s="443" t="s">
        <v>382</v>
      </c>
      <c r="D3" s="118" t="s">
        <v>571</v>
      </c>
      <c r="E3" s="155"/>
      <c r="F3" s="122"/>
      <c r="G3" s="459"/>
      <c r="H3" s="122"/>
      <c r="I3" s="122"/>
      <c r="J3" s="122"/>
    </row>
    <row r="4" spans="1:12" x14ac:dyDescent="0.35">
      <c r="A4" s="460" t="s">
        <v>579</v>
      </c>
      <c r="B4" s="461" t="s">
        <v>567</v>
      </c>
      <c r="C4" s="153" t="s">
        <v>566</v>
      </c>
      <c r="D4" s="462" t="s">
        <v>560</v>
      </c>
      <c r="E4" s="155"/>
      <c r="F4" s="463"/>
      <c r="G4" s="464"/>
      <c r="H4" s="463"/>
      <c r="I4" s="463"/>
      <c r="J4" s="463"/>
      <c r="K4" s="465"/>
      <c r="L4" s="121"/>
    </row>
    <row r="5" spans="1:12" s="452" customFormat="1" x14ac:dyDescent="0.35">
      <c r="A5" s="452" t="s">
        <v>430</v>
      </c>
      <c r="B5" s="452" t="s">
        <v>561</v>
      </c>
      <c r="C5" s="451" t="s">
        <v>562</v>
      </c>
      <c r="D5" s="452" t="s">
        <v>563</v>
      </c>
      <c r="E5" s="448"/>
      <c r="F5" s="448"/>
      <c r="G5" s="453"/>
      <c r="H5" s="448"/>
      <c r="I5" s="448"/>
      <c r="J5" s="448"/>
    </row>
    <row r="6" spans="1:12" x14ac:dyDescent="0.35">
      <c r="A6" s="118" t="s">
        <v>317</v>
      </c>
      <c r="B6" s="118" t="s">
        <v>406</v>
      </c>
      <c r="C6" s="443" t="s">
        <v>582</v>
      </c>
      <c r="D6" s="471" t="s">
        <v>407</v>
      </c>
      <c r="E6" s="155"/>
      <c r="F6" s="122"/>
      <c r="G6" s="459"/>
      <c r="H6" s="122"/>
      <c r="I6" s="122"/>
      <c r="J6" s="122"/>
      <c r="K6" s="130"/>
    </row>
    <row r="7" spans="1:12" x14ac:dyDescent="0.35">
      <c r="A7" s="118" t="s">
        <v>323</v>
      </c>
      <c r="B7" s="118" t="s">
        <v>427</v>
      </c>
      <c r="C7" s="443" t="s">
        <v>428</v>
      </c>
      <c r="D7" s="118" t="s">
        <v>464</v>
      </c>
      <c r="E7" s="155"/>
      <c r="F7" s="122"/>
      <c r="G7" s="459"/>
      <c r="H7" s="122"/>
      <c r="I7" s="122"/>
      <c r="J7" s="122"/>
      <c r="K7" s="462"/>
      <c r="L7" s="153"/>
    </row>
    <row r="8" spans="1:12" x14ac:dyDescent="0.35">
      <c r="A8" s="123" t="s">
        <v>333</v>
      </c>
      <c r="B8" s="123" t="s">
        <v>368</v>
      </c>
      <c r="C8" s="123" t="s">
        <v>221</v>
      </c>
      <c r="D8" s="466" t="s">
        <v>369</v>
      </c>
      <c r="E8" s="155"/>
      <c r="F8" s="122"/>
      <c r="G8" s="459"/>
      <c r="H8" s="122"/>
      <c r="I8" s="122"/>
      <c r="J8" s="122"/>
      <c r="K8" s="130"/>
    </row>
    <row r="9" spans="1:12" x14ac:dyDescent="0.35">
      <c r="A9" s="467" t="s">
        <v>573</v>
      </c>
      <c r="B9" s="467" t="s">
        <v>451</v>
      </c>
      <c r="C9" s="444" t="s">
        <v>452</v>
      </c>
      <c r="D9" s="467" t="s">
        <v>564</v>
      </c>
      <c r="E9" s="155"/>
      <c r="F9" s="122"/>
      <c r="G9" s="459"/>
      <c r="H9" s="122"/>
      <c r="I9" s="463"/>
      <c r="J9" s="122"/>
      <c r="K9" s="468"/>
    </row>
    <row r="10" spans="1:12" s="452" customFormat="1" x14ac:dyDescent="0.35">
      <c r="A10" s="454" t="s">
        <v>424</v>
      </c>
      <c r="B10" s="454" t="s">
        <v>371</v>
      </c>
      <c r="C10" s="455" t="s">
        <v>429</v>
      </c>
      <c r="D10" s="454" t="s">
        <v>565</v>
      </c>
      <c r="E10" s="448"/>
      <c r="F10" s="448"/>
      <c r="G10" s="453"/>
      <c r="H10" s="448"/>
      <c r="I10" s="456"/>
      <c r="J10" s="448"/>
      <c r="K10" s="457"/>
    </row>
    <row r="11" spans="1:12" s="446" customFormat="1" x14ac:dyDescent="0.35">
      <c r="A11" s="446" t="s">
        <v>370</v>
      </c>
      <c r="B11" s="446" t="s">
        <v>527</v>
      </c>
      <c r="C11" s="447" t="s">
        <v>528</v>
      </c>
      <c r="E11" s="448"/>
      <c r="F11" s="449"/>
      <c r="G11" s="450"/>
      <c r="H11" s="449"/>
      <c r="I11" s="449"/>
      <c r="J11" s="448"/>
      <c r="K11" s="458"/>
    </row>
    <row r="12" spans="1:12" x14ac:dyDescent="0.35">
      <c r="A12" s="118" t="s">
        <v>342</v>
      </c>
      <c r="B12" s="118" t="s">
        <v>433</v>
      </c>
      <c r="C12" s="118" t="s">
        <v>434</v>
      </c>
      <c r="D12" s="118" t="s">
        <v>435</v>
      </c>
      <c r="E12" s="155"/>
      <c r="F12" s="122"/>
      <c r="G12" s="459"/>
      <c r="H12" s="122"/>
      <c r="I12" s="122"/>
      <c r="J12" s="469"/>
      <c r="K12" s="468"/>
    </row>
    <row r="17" spans="1:12" x14ac:dyDescent="0.35">
      <c r="H17" s="122"/>
      <c r="K17" s="130"/>
    </row>
    <row r="18" spans="1:12" x14ac:dyDescent="0.35">
      <c r="H18" s="122"/>
      <c r="K18" s="130"/>
    </row>
    <row r="19" spans="1:12" x14ac:dyDescent="0.35">
      <c r="A19" s="131" t="s">
        <v>486</v>
      </c>
      <c r="H19" s="122"/>
      <c r="K19" s="130"/>
    </row>
    <row r="20" spans="1:12" x14ac:dyDescent="0.35">
      <c r="A20" s="131" t="s">
        <v>314</v>
      </c>
      <c r="H20" s="122"/>
      <c r="K20" s="130"/>
    </row>
    <row r="21" spans="1:12" x14ac:dyDescent="0.35">
      <c r="A21" s="131" t="s">
        <v>298</v>
      </c>
      <c r="H21" s="122"/>
      <c r="K21" s="130"/>
    </row>
    <row r="22" spans="1:12" x14ac:dyDescent="0.35">
      <c r="A22" s="131" t="s">
        <v>431</v>
      </c>
      <c r="H22" s="122"/>
      <c r="K22" s="130"/>
    </row>
    <row r="23" spans="1:12" x14ac:dyDescent="0.35">
      <c r="A23" s="131" t="s">
        <v>432</v>
      </c>
      <c r="H23" s="122"/>
      <c r="K23" s="130"/>
    </row>
    <row r="24" spans="1:12" x14ac:dyDescent="0.35">
      <c r="A24" s="131" t="s">
        <v>329</v>
      </c>
      <c r="H24" s="122"/>
      <c r="K24" s="130"/>
    </row>
    <row r="25" spans="1:12" x14ac:dyDescent="0.35">
      <c r="H25" s="122"/>
      <c r="K25" s="130"/>
    </row>
    <row r="26" spans="1:12" s="123" customFormat="1" x14ac:dyDescent="0.35">
      <c r="A26" s="154"/>
      <c r="B26" s="154"/>
      <c r="C26" s="154"/>
      <c r="D26" s="154"/>
      <c r="E26" s="155"/>
      <c r="F26" s="155"/>
      <c r="G26" s="156"/>
      <c r="H26" s="155"/>
      <c r="I26" s="155"/>
      <c r="J26" s="157"/>
      <c r="K26" s="496"/>
      <c r="L26" s="497"/>
    </row>
  </sheetData>
  <mergeCells count="1">
    <mergeCell ref="K26:L26"/>
  </mergeCells>
  <hyperlinks>
    <hyperlink ref="C3" r:id="rId1" xr:uid="{9BA2ADEF-D527-4987-93C2-9F2587EA189F}"/>
    <hyperlink ref="C11" r:id="rId2" xr:uid="{60995885-DD93-4397-AE84-548CBEC2DDE5}"/>
    <hyperlink ref="C6" r:id="rId3" display="Mstepek@doeren.com" xr:uid="{FB88D122-4274-4CC4-928B-2022117D749A}"/>
    <hyperlink ref="C7" r:id="rId4" xr:uid="{9DCC3287-6681-4BF1-A896-0F82FE6E5A88}"/>
    <hyperlink ref="C10" r:id="rId5" xr:uid="{847D0574-ACD7-4321-97D6-5C403F31E057}"/>
    <hyperlink ref="C5" r:id="rId6" xr:uid="{644A161A-98E6-457E-89AB-B026C81E71BB}"/>
    <hyperlink ref="C9" r:id="rId7" xr:uid="{19AFECC5-13CE-490C-9581-CC5587DEB39B}"/>
  </hyperlinks>
  <pageMargins left="0.7" right="0.7" top="0.75" bottom="0.75" header="0.3" footer="0.3"/>
  <pageSetup orientation="portrait"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Requirements List</vt:lpstr>
      <vt:lpstr>Recipients</vt:lpstr>
      <vt:lpstr>TY Donors</vt:lpstr>
      <vt:lpstr>Firm Commitments</vt:lpstr>
      <vt:lpstr>'Requirements List'!Print_Titles</vt:lpstr>
    </vt:vector>
  </TitlesOfParts>
  <Company>Eli Broad College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Accounting and Informations Systems Department</dc:creator>
  <cp:lastModifiedBy>Hengesbach, Joyce</cp:lastModifiedBy>
  <cp:lastPrinted>2021-05-14T11:38:16Z</cp:lastPrinted>
  <dcterms:created xsi:type="dcterms:W3CDTF">2013-01-31T16:17:51Z</dcterms:created>
  <dcterms:modified xsi:type="dcterms:W3CDTF">2025-09-11T13:39:08Z</dcterms:modified>
</cp:coreProperties>
</file>