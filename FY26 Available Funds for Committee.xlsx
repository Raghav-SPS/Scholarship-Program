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defaultThemeVersion="124226"/>
  <mc:AlternateContent xmlns:mc="http://schemas.openxmlformats.org/markup-compatibility/2006">
    <mc:Choice Requires="x15">
      <x15ac:absPath xmlns:x15ac="http://schemas.microsoft.com/office/spreadsheetml/2010/11/ac" url="\\es.msu.edu\Broad\AIS\Staff\Financial\Scholarships\Scholarships (2025-2026)\"/>
    </mc:Choice>
  </mc:AlternateContent>
  <xr:revisionPtr revIDLastSave="0" documentId="13_ncr:1_{4C79621D-A251-4026-AB4F-35A75BDFF9AB}" xr6:coauthVersionLast="47" xr6:coauthVersionMax="47" xr10:uidLastSave="{00000000-0000-0000-0000-000000000000}"/>
  <bookViews>
    <workbookView xWindow="-110" yWindow="-110" windowWidth="25820" windowHeight="13900" xr2:uid="{00000000-000D-0000-FFFF-FFFF00000000}"/>
  </bookViews>
  <sheets>
    <sheet name="Requirements List" sheetId="1" r:id="rId1"/>
    <sheet name="Recipient Selection Template" sheetId="8" r:id="rId2"/>
  </sheets>
  <definedNames>
    <definedName name="_xlnm.Print_Titles" localSheetId="0">'Requirements List'!$2:$2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54" i="1" l="1"/>
</calcChain>
</file>

<file path=xl/sharedStrings.xml><?xml version="1.0" encoding="utf-8"?>
<sst xmlns="http://schemas.openxmlformats.org/spreadsheetml/2006/main" count="396" uniqueCount="325">
  <si>
    <t>William and Carol Brink Endowed Scholarship</t>
  </si>
  <si>
    <t>Arthur H. Carter Scholarship</t>
  </si>
  <si>
    <t>Daniel J. and Bette H. Church Endowed Scholarship in Accounting</t>
  </si>
  <si>
    <t>Doeren Mayhew Scholarship</t>
  </si>
  <si>
    <t>Ernst &amp; Young Endowed Scholarship</t>
  </si>
  <si>
    <t>Scott and Patricia Eston Endowed Scholarship in Accounting</t>
  </si>
  <si>
    <t>Gardner M. and Pauline A. Jones Endowed Scholarship in Accounting</t>
  </si>
  <si>
    <t>James E. McCartney Undergraduate Scholarship in Accounting</t>
  </si>
  <si>
    <t>Glenn and Susan Schafer Endowed Scholarship in Accounting</t>
  </si>
  <si>
    <t>Frank N. Sidoti Undergraduate Business Scholarship</t>
  </si>
  <si>
    <t>Roger E. and Laura Hamill Wilkinson Endowed Scholarship</t>
  </si>
  <si>
    <t>Cecil R. and M. Beatrice Upham Scholarship</t>
  </si>
  <si>
    <t>RT083756</t>
  </si>
  <si>
    <t>RT083279</t>
  </si>
  <si>
    <t>RT083130</t>
  </si>
  <si>
    <t>RT082603</t>
  </si>
  <si>
    <t>RT083443</t>
  </si>
  <si>
    <t>RT083543</t>
  </si>
  <si>
    <t>RT083131</t>
  </si>
  <si>
    <t>RT083118</t>
  </si>
  <si>
    <t>RT083551</t>
  </si>
  <si>
    <t>RT083629</t>
  </si>
  <si>
    <t>RT083321</t>
  </si>
  <si>
    <t>DE022412</t>
  </si>
  <si>
    <t>RT086218</t>
  </si>
  <si>
    <t>RT083399</t>
  </si>
  <si>
    <t>RT086169</t>
  </si>
  <si>
    <t>RT100203</t>
  </si>
  <si>
    <t>RH082157</t>
  </si>
  <si>
    <t>Richard and Barbara McWhirter Endowed Scholarship in Accounting</t>
  </si>
  <si>
    <t>The William C. Martino and Delrose Marlene Martino Scholarship Fund</t>
  </si>
  <si>
    <t>RT083600</t>
  </si>
  <si>
    <t>Daniel Collins Accounting Research Award</t>
  </si>
  <si>
    <t>Marlys and Jack Gray Endowed Scholarship</t>
  </si>
  <si>
    <t>The Russell and Vera McCurry Memorial Scholarship</t>
  </si>
  <si>
    <t>John Dallal Memorial Scholarship</t>
  </si>
  <si>
    <t>Steven D. Clark Accident Fund Insurance Company of America Scholarship in Accounting and Information Systems</t>
  </si>
  <si>
    <t>$ one year full time tuition</t>
  </si>
  <si>
    <t>RT083449</t>
  </si>
  <si>
    <t>SORT
NAME</t>
  </si>
  <si>
    <t>ACCOUNT NUMBER</t>
  </si>
  <si>
    <t>RESTRICTIONS</t>
  </si>
  <si>
    <t>SEMESTER PAID</t>
  </si>
  <si>
    <t>OFFICIAL
NAME</t>
  </si>
  <si>
    <t>BDO</t>
  </si>
  <si>
    <t>BRINK</t>
  </si>
  <si>
    <t>BECK</t>
  </si>
  <si>
    <t>CARTER</t>
  </si>
  <si>
    <t>CHURCH</t>
  </si>
  <si>
    <t>DALLAL</t>
  </si>
  <si>
    <t>DELOITTE</t>
  </si>
  <si>
    <t>DOEREN MAYHEW</t>
  </si>
  <si>
    <t>E&amp;Y</t>
  </si>
  <si>
    <t>ESTON</t>
  </si>
  <si>
    <t>GRANT THORNTON</t>
  </si>
  <si>
    <t>JONES</t>
  </si>
  <si>
    <t>MARTINO</t>
  </si>
  <si>
    <t>GRAY</t>
  </si>
  <si>
    <t>MCCARTNEY</t>
  </si>
  <si>
    <t>PWC</t>
  </si>
  <si>
    <t>SCHAFER</t>
  </si>
  <si>
    <t>SMITH</t>
  </si>
  <si>
    <t>WILKINSON</t>
  </si>
  <si>
    <t>MCCURRY</t>
  </si>
  <si>
    <t>LUCCOCK</t>
  </si>
  <si>
    <t>MCWHIRTER</t>
  </si>
  <si>
    <t>CLARK</t>
  </si>
  <si>
    <t>UPHAM</t>
  </si>
  <si>
    <t>The Constance Richards Smith Memorial Endowed Scholarship in Accounting</t>
  </si>
  <si>
    <t>Thomas N. Luccock Audit Scholarship Endowment</t>
  </si>
  <si>
    <t>COLLINS</t>
  </si>
  <si>
    <t>HORBACK</t>
  </si>
  <si>
    <t>Selected by Ph.D. Director</t>
  </si>
  <si>
    <t>RT100184</t>
  </si>
  <si>
    <t xml:space="preserve">Recipient shall be enrolled as a full-time student in the MBA or MS in Accounting program and have completed an original accounting research project during the past twelve months.  Two awards - 2nd place receives half of 1st place  </t>
  </si>
  <si>
    <t>2nd place is 1/2 of 1st place
student must be nominated by a faculty member</t>
  </si>
  <si>
    <t>Deloitte &amp; Touche/Michael Licata Endowed Scholarship</t>
  </si>
  <si>
    <t>ANTHONY</t>
  </si>
  <si>
    <t>RT100250</t>
  </si>
  <si>
    <t>DRIESSNACK</t>
  </si>
  <si>
    <t>Robert and Paula Driessnack Spartan Cornerstone Scholarship Challenge</t>
  </si>
  <si>
    <t>RITCHIE</t>
  </si>
  <si>
    <t xml:space="preserve">Richard L. Ritchie Endowment for the Department of Accounting and Information Systems </t>
  </si>
  <si>
    <t>RT086030</t>
  </si>
  <si>
    <t>BDO USA, LLP Scholarship</t>
  </si>
  <si>
    <t>Department funded (selected by IT faculty)</t>
  </si>
  <si>
    <t>ITSS</t>
  </si>
  <si>
    <t>CLEMENS</t>
  </si>
  <si>
    <t>Donna Elizabeth Clemens Memorial Scholarship</t>
  </si>
  <si>
    <t>RT100472</t>
  </si>
  <si>
    <t>SELECTED BY</t>
  </si>
  <si>
    <t>FSA</t>
  </si>
  <si>
    <t>Federated Schools of Accountancy</t>
  </si>
  <si>
    <t>????</t>
  </si>
  <si>
    <t>Department</t>
  </si>
  <si>
    <t>Final approval by Chair</t>
  </si>
  <si>
    <t>For VITA members ONLY</t>
  </si>
  <si>
    <t>PLANTE-MORAN</t>
  </si>
  <si>
    <t>Michelle Horback Palgut Memorial Endowed Scholarship in Accounting</t>
  </si>
  <si>
    <t>RT100714</t>
  </si>
  <si>
    <t>Information Technology Minor Scholarship</t>
  </si>
  <si>
    <t>WIEGAND</t>
  </si>
  <si>
    <t>RT101076</t>
  </si>
  <si>
    <t>COHEN</t>
  </si>
  <si>
    <t>RT101124</t>
  </si>
  <si>
    <t>The Agnes F. Sidoti Undergraduate Business Scholarship</t>
  </si>
  <si>
    <t>AIS</t>
  </si>
  <si>
    <t>PwC Outstanding Achievement Scholarship</t>
  </si>
  <si>
    <t>Grant Thornton Scholarship</t>
  </si>
  <si>
    <t>Wiegand Family Scholarship in Accounting</t>
  </si>
  <si>
    <t xml:space="preserve">CROWE </t>
  </si>
  <si>
    <t>RT101336</t>
  </si>
  <si>
    <t>RT101316</t>
  </si>
  <si>
    <t>Temp restriction 12/4/18   UN</t>
  </si>
  <si>
    <t>The Patricia A. Jones Memorial Scholarship</t>
  </si>
  <si>
    <t>Cohen &amp; Company Scholarship</t>
  </si>
  <si>
    <t>Plante Moran Scholarship</t>
  </si>
  <si>
    <t>NOTES</t>
  </si>
  <si>
    <r>
      <t xml:space="preserve">full time acctg major </t>
    </r>
    <r>
      <rPr>
        <b/>
        <sz val="9"/>
        <color rgb="FF00B0F0"/>
        <rFont val="Times New Roman"/>
        <family val="1"/>
      </rPr>
      <t>undergrad</t>
    </r>
    <r>
      <rPr>
        <sz val="9"/>
        <color theme="1"/>
        <rFont val="Times New Roman"/>
        <family val="1"/>
      </rPr>
      <t>, exhibiting academic excellence combined w/leadership, comm service, work exp &amp; fin need  Limit 4 years - renewal as long as they maintain a 3.0 GPA Minimum 2,000   
1 award + renewable from pervious years
Have a permanent address is michigan</t>
    </r>
  </si>
  <si>
    <t>MANER</t>
  </si>
  <si>
    <t>Maner Costerisan Accounting Scholarship</t>
  </si>
  <si>
    <t>RT101452</t>
  </si>
  <si>
    <t>Daniel 
Deceased 3/29/19</t>
  </si>
  <si>
    <t>GRAD ONLY</t>
  </si>
  <si>
    <r>
      <t xml:space="preserve">academic excellence, leadership qualities and work experience / enrolled in acctg class.  Preference to Michigan residents.    GRAD
</t>
    </r>
    <r>
      <rPr>
        <b/>
        <sz val="9"/>
        <color theme="1"/>
        <rFont val="Times New Roman"/>
        <family val="1"/>
      </rPr>
      <t>Temp restriction 12/4/18   GR</t>
    </r>
  </si>
  <si>
    <t>DOMINOWSKI</t>
  </si>
  <si>
    <t>Dominowski Scholarship Fund</t>
  </si>
  <si>
    <t>EAB</t>
  </si>
  <si>
    <t>External Advisory Board Scholarship</t>
  </si>
  <si>
    <t>RSM US LLP</t>
  </si>
  <si>
    <t>The Joseph and Madeline Anthony Endowed Fund in Accounting and Information Systems Scholarship</t>
  </si>
  <si>
    <t>Temp Restriction 11/21/18                 GR</t>
  </si>
  <si>
    <r>
      <t xml:space="preserve">young men of good character who have satisfactorily completed at least two years of study                </t>
    </r>
    <r>
      <rPr>
        <b/>
        <sz val="9"/>
        <color theme="1"/>
        <rFont val="Times New Roman"/>
        <family val="1"/>
      </rPr>
      <t>UN Jr./Sr. OR MS Student</t>
    </r>
    <r>
      <rPr>
        <sz val="9"/>
        <color theme="1"/>
        <rFont val="Times New Roman"/>
        <family val="1"/>
      </rPr>
      <t xml:space="preserve">
The award can go to a MS accounting major provided they have completed two years of undergrad at an accredited college or university and are male.  
</t>
    </r>
  </si>
  <si>
    <t>FALL ONLY AWARD</t>
  </si>
  <si>
    <r>
      <t xml:space="preserve">acctg major, based on need as verified by FAFSA with preference to students who do not qualify for the Pell Grant but demonstrate need of no less than 50% of cost of attendance                      </t>
    </r>
    <r>
      <rPr>
        <b/>
        <sz val="9"/>
        <color theme="1"/>
        <rFont val="Times New Roman"/>
        <family val="1"/>
      </rPr>
      <t>UN ONLY, FALL</t>
    </r>
  </si>
  <si>
    <r>
      <t xml:space="preserve">based on academic excellence, leadership and work experience              </t>
    </r>
    <r>
      <rPr>
        <b/>
        <sz val="9"/>
        <color theme="1"/>
        <rFont val="Times New Roman"/>
        <family val="1"/>
      </rPr>
      <t xml:space="preserve">UN ONLY, FALL </t>
    </r>
  </si>
  <si>
    <r>
      <t xml:space="preserve">admitted acctng student with interest in tax.  Top 25% of applicants based on academic achievement.  </t>
    </r>
    <r>
      <rPr>
        <sz val="9"/>
        <color rgb="FFFF0000"/>
        <rFont val="Times New Roman"/>
        <family val="1"/>
      </rPr>
      <t>The full amount must go to 1 person.</t>
    </r>
    <r>
      <rPr>
        <sz val="9"/>
        <color theme="1"/>
        <rFont val="Times New Roman"/>
        <family val="1"/>
      </rPr>
      <t xml:space="preserve">                                      </t>
    </r>
    <r>
      <rPr>
        <b/>
        <sz val="9"/>
        <color theme="1"/>
        <rFont val="Times New Roman"/>
        <family val="1"/>
      </rPr>
      <t>GR , FALL</t>
    </r>
    <r>
      <rPr>
        <sz val="9"/>
        <color theme="1"/>
        <rFont val="Times New Roman"/>
        <family val="1"/>
      </rPr>
      <t xml:space="preserve">
</t>
    </r>
    <r>
      <rPr>
        <b/>
        <sz val="9"/>
        <color theme="1"/>
        <rFont val="Times New Roman"/>
        <family val="1"/>
      </rPr>
      <t>Temp Restriction 11/21/18  Grad</t>
    </r>
  </si>
  <si>
    <r>
      <t xml:space="preserve">MS or PhD in dept (any program) eligible to participate in federal need-based aid program with emphasis on academic credentials and promise; $1,000 minimum  
                                       </t>
    </r>
    <r>
      <rPr>
        <b/>
        <sz val="9"/>
        <color theme="1"/>
        <rFont val="Times New Roman"/>
        <family val="1"/>
      </rPr>
      <t>GR ONLY, FALL</t>
    </r>
  </si>
  <si>
    <t>Temp Restriction 11/21/18                 UN</t>
  </si>
  <si>
    <r>
      <t xml:space="preserve">acctg major based on academic excellence
</t>
    </r>
    <r>
      <rPr>
        <b/>
        <sz val="9"/>
        <color theme="1"/>
        <rFont val="Times New Roman"/>
        <family val="1"/>
      </rPr>
      <t xml:space="preserve">Temp Restriction 11/21/18                  UN </t>
    </r>
  </si>
  <si>
    <t>SPRING ONLY AWARD</t>
  </si>
  <si>
    <r>
      <t xml:space="preserve">full time accounting major   
</t>
    </r>
    <r>
      <rPr>
        <b/>
        <sz val="9"/>
        <color theme="1"/>
        <rFont val="Times New Roman"/>
        <family val="1"/>
      </rPr>
      <t>Temp restriction 11/21/18                     GR
FALL ONLY</t>
    </r>
  </si>
  <si>
    <r>
      <t xml:space="preserve">based on academic excellence &amp; leadership; priority to Michigan residents
</t>
    </r>
    <r>
      <rPr>
        <b/>
        <sz val="9"/>
        <color theme="1"/>
        <rFont val="Times New Roman"/>
        <family val="1"/>
      </rPr>
      <t>Temp restriction 11/21/18                    UN</t>
    </r>
    <r>
      <rPr>
        <sz val="9"/>
        <color theme="1"/>
        <rFont val="Times New Roman"/>
        <family val="1"/>
      </rPr>
      <t xml:space="preserve"> </t>
    </r>
    <r>
      <rPr>
        <b/>
        <sz val="9"/>
        <rFont val="Times New Roman"/>
        <family val="1"/>
      </rPr>
      <t>SPRING ONLY</t>
    </r>
  </si>
  <si>
    <r>
      <t xml:space="preserve">Recipients will be accounting majors who are a member in NABA with preference to those who are also in Woman in Business Student Association     </t>
    </r>
    <r>
      <rPr>
        <b/>
        <sz val="9"/>
        <color theme="1"/>
        <rFont val="Times New Roman"/>
        <family val="1"/>
      </rPr>
      <t>FALL ONLY                 GR</t>
    </r>
  </si>
  <si>
    <r>
      <t xml:space="preserve">based on academic excellence, leadership qualities and work experience 
</t>
    </r>
    <r>
      <rPr>
        <b/>
        <sz val="9"/>
        <color theme="1"/>
        <rFont val="Times New Roman"/>
        <family val="1"/>
      </rPr>
      <t>Temp restriction 11/21/18  FALL       GR</t>
    </r>
  </si>
  <si>
    <r>
      <t xml:space="preserve">1,000 minimum award per student; Acctg or IS major   </t>
    </r>
    <r>
      <rPr>
        <b/>
        <sz val="9"/>
        <color theme="1"/>
        <rFont val="Times New Roman"/>
        <family val="1"/>
      </rPr>
      <t>Temp restriction 11/21/18   UN FALL</t>
    </r>
  </si>
  <si>
    <r>
      <t xml:space="preserve">undergrad enrolled in acctg class, have foreign language, based on academic excellence            </t>
    </r>
    <r>
      <rPr>
        <b/>
        <sz val="9"/>
        <rFont val="Times New Roman"/>
        <family val="1"/>
      </rPr>
      <t xml:space="preserve"> FALL                       UN</t>
    </r>
  </si>
  <si>
    <t>Financial Executives International Western Michigan Chapter Academic Excellence in Accounting Scholarship</t>
  </si>
  <si>
    <t>Crowe Outstanding Junior Accounting Scholarship</t>
  </si>
  <si>
    <t>FALL OR SPRING AWARD</t>
  </si>
  <si>
    <r>
      <t xml:space="preserve">Financial need may be considered with foreign language.  Accounting major.  Preference to cumulative gpa of for at least two semester at 3.6 or better.
</t>
    </r>
    <r>
      <rPr>
        <b/>
        <sz val="9"/>
        <color theme="1"/>
        <rFont val="Times New Roman"/>
        <family val="1"/>
      </rPr>
      <t xml:space="preserve">  FALL ONLY </t>
    </r>
    <r>
      <rPr>
        <sz val="9"/>
        <color theme="1"/>
        <rFont val="Times New Roman"/>
        <family val="1"/>
      </rPr>
      <t xml:space="preserve">
</t>
    </r>
    <r>
      <rPr>
        <b/>
        <sz val="9"/>
        <color theme="1"/>
        <rFont val="Times New Roman"/>
        <family val="1"/>
      </rPr>
      <t xml:space="preserve">              Temp restriction 11/21/18   Grad</t>
    </r>
  </si>
  <si>
    <r>
      <t xml:space="preserve">Academic excellence, leadership qualities and work experience     UN ONLY
       </t>
    </r>
    <r>
      <rPr>
        <b/>
        <sz val="9"/>
        <rFont val="Times New Roman"/>
        <family val="1"/>
      </rPr>
      <t xml:space="preserve">            FALL ONLY</t>
    </r>
  </si>
  <si>
    <r>
      <t xml:space="preserve">Undergrad, based on academic excellence, leadership and work experience / enrolled in acctg class.                </t>
    </r>
    <r>
      <rPr>
        <b/>
        <sz val="9"/>
        <color theme="1"/>
        <rFont val="Times New Roman"/>
        <family val="1"/>
      </rPr>
      <t xml:space="preserve"> FALL ONLY</t>
    </r>
  </si>
  <si>
    <r>
      <t xml:space="preserve">full time accounting major
</t>
    </r>
    <r>
      <rPr>
        <b/>
        <sz val="9"/>
        <rFont val="Times New Roman"/>
        <family val="1"/>
      </rPr>
      <t>Temp restriction 12/4/18   UN</t>
    </r>
    <r>
      <rPr>
        <sz val="9"/>
        <rFont val="Times New Roman"/>
        <family val="1"/>
      </rPr>
      <t xml:space="preserve">, </t>
    </r>
    <r>
      <rPr>
        <b/>
        <sz val="9"/>
        <rFont val="Times New Roman"/>
        <family val="1"/>
      </rPr>
      <t>FALL ONLY</t>
    </r>
  </si>
  <si>
    <r>
      <t xml:space="preserve">recipients must be in good academic standing; based on academic achievement
</t>
    </r>
    <r>
      <rPr>
        <b/>
        <sz val="9"/>
        <color theme="1"/>
        <rFont val="Times New Roman"/>
        <family val="1"/>
      </rPr>
      <t>Temp restriction 12/4/18   GR</t>
    </r>
    <r>
      <rPr>
        <sz val="9"/>
        <color theme="1"/>
        <rFont val="Times New Roman"/>
        <family val="1"/>
      </rPr>
      <t xml:space="preserve">, </t>
    </r>
    <r>
      <rPr>
        <b/>
        <sz val="9"/>
        <color theme="1"/>
        <rFont val="Times New Roman"/>
        <family val="1"/>
      </rPr>
      <t>FALL ONLY</t>
    </r>
  </si>
  <si>
    <t>PCAOB</t>
  </si>
  <si>
    <t>Public Company Accounting Oversight Board</t>
  </si>
  <si>
    <t>Shannon Mulally selects the student and notifys</t>
  </si>
  <si>
    <t>NA</t>
  </si>
  <si>
    <t>AL ARENS</t>
  </si>
  <si>
    <t>MAIN STREET</t>
  </si>
  <si>
    <t>Al Arens Teaching Assistant</t>
  </si>
  <si>
    <t>Main Street Corporation Teaching Assistant</t>
  </si>
  <si>
    <t>Send Notification to the named GAs and DONOR</t>
  </si>
  <si>
    <t>AIS Scholarship Campaign</t>
  </si>
  <si>
    <t>RL100066</t>
  </si>
  <si>
    <t>RL100072</t>
  </si>
  <si>
    <t>RL100073</t>
  </si>
  <si>
    <t>RL100074</t>
  </si>
  <si>
    <t>RL100069</t>
  </si>
  <si>
    <t>RL100075</t>
  </si>
  <si>
    <t>RL100067</t>
  </si>
  <si>
    <t>RL100071</t>
  </si>
  <si>
    <t>RL100070</t>
  </si>
  <si>
    <t>FEIWM</t>
  </si>
  <si>
    <t>RL100076</t>
  </si>
  <si>
    <t>RL100078</t>
  </si>
  <si>
    <t>SIDOTI, AGNES</t>
  </si>
  <si>
    <t>SIDOTI, FRANK</t>
  </si>
  <si>
    <r>
      <t xml:space="preserve">Recipients must be US Citizens or permanent residents (Amend. 12/20)        GR ONLY
   </t>
    </r>
    <r>
      <rPr>
        <b/>
        <sz val="9"/>
        <color theme="1"/>
        <rFont val="Times New Roman"/>
        <family val="1"/>
      </rPr>
      <t xml:space="preserve">  FALL ONLY</t>
    </r>
  </si>
  <si>
    <t>ANNUAL GIFTS</t>
  </si>
  <si>
    <t>ENDOWMENTS</t>
  </si>
  <si>
    <t>at discretion of chair
DOESN'T HAVE TO BE A SCHOLARSHIP</t>
  </si>
  <si>
    <t>D. Jean Sanders Beck Scholarship</t>
  </si>
  <si>
    <t>high merit and financial need  (underrepresented minority as able)
1 @ 10,000 - Grad
5 @ 4,600 - Undergrad</t>
  </si>
  <si>
    <t>Carter</t>
  </si>
  <si>
    <t>Clark</t>
  </si>
  <si>
    <t>Deloitte</t>
  </si>
  <si>
    <t>Martino</t>
  </si>
  <si>
    <t>Smith</t>
  </si>
  <si>
    <t>undergrad</t>
  </si>
  <si>
    <t>ms</t>
  </si>
  <si>
    <t>Anthony</t>
  </si>
  <si>
    <t>31-3312</t>
  </si>
  <si>
    <t>Beck</t>
  </si>
  <si>
    <t>31-1170</t>
  </si>
  <si>
    <t>31-3422</t>
  </si>
  <si>
    <t>81-3756</t>
  </si>
  <si>
    <t>MALE</t>
  </si>
  <si>
    <t>Church</t>
  </si>
  <si>
    <t>Clemens</t>
  </si>
  <si>
    <r>
      <t>1  TAX / TOP</t>
    </r>
    <r>
      <rPr>
        <b/>
        <i/>
        <sz val="12"/>
        <rFont val="Calibri"/>
        <family val="2"/>
      </rPr>
      <t xml:space="preserve"> 25%</t>
    </r>
  </si>
  <si>
    <t>81-6169</t>
  </si>
  <si>
    <t>NEED&gt;M/H</t>
  </si>
  <si>
    <t>Cohen</t>
  </si>
  <si>
    <t>Crowe Horvath</t>
  </si>
  <si>
    <t>1 /  DOMESTIC / US HIGH SCHOOL</t>
  </si>
  <si>
    <t>Dallal</t>
  </si>
  <si>
    <t>VITA</t>
  </si>
  <si>
    <t>81-3130</t>
  </si>
  <si>
    <t>Doeren Mayhew</t>
  </si>
  <si>
    <t>Dominowski</t>
  </si>
  <si>
    <t>2@2500 / NEED / UP OR NORTHERN MI OR RURAL</t>
  </si>
  <si>
    <t>Driessnack</t>
  </si>
  <si>
    <t>NEED</t>
  </si>
  <si>
    <t>Eston</t>
  </si>
  <si>
    <t>&gt;3.6 / FOREIGN LANGUAGE / NEED(?)</t>
  </si>
  <si>
    <t>5ug@5000 / 1ms@10000 / HI MERIT AND NEED / MINORITIES</t>
  </si>
  <si>
    <t>FEI</t>
  </si>
  <si>
    <t>1 / ACC GPA&gt;3.5</t>
  </si>
  <si>
    <t>Grant Thornton</t>
  </si>
  <si>
    <t>Horback</t>
  </si>
  <si>
    <t xml:space="preserve"> MI</t>
  </si>
  <si>
    <t>Gardner Jones</t>
  </si>
  <si>
    <t xml:space="preserve">81-3543 </t>
  </si>
  <si>
    <t>Patricia Jones</t>
  </si>
  <si>
    <t>NABA / WOMEN IN BUSINESS STUDENT ASSOC</t>
  </si>
  <si>
    <t>Luccock</t>
  </si>
  <si>
    <t>Maner Costerisan</t>
  </si>
  <si>
    <t>McCartney</t>
  </si>
  <si>
    <t>FOREIGN LANGUAGE</t>
  </si>
  <si>
    <t>81-3118</t>
  </si>
  <si>
    <t>McCurry</t>
  </si>
  <si>
    <t>McWhirter</t>
  </si>
  <si>
    <t>MI / 2000 MIN / NEED</t>
  </si>
  <si>
    <t>81-6218</t>
  </si>
  <si>
    <t>Plante-Moran</t>
  </si>
  <si>
    <t>minority pref</t>
  </si>
  <si>
    <t>Ritchie</t>
  </si>
  <si>
    <t>RSM</t>
  </si>
  <si>
    <t>Schafer</t>
  </si>
  <si>
    <t>US CITIZEN</t>
  </si>
  <si>
    <t>Agnes Sidoti</t>
  </si>
  <si>
    <t>Frank Sidoti</t>
  </si>
  <si>
    <t>MI</t>
  </si>
  <si>
    <t>Upham</t>
  </si>
  <si>
    <t>Wiegand</t>
  </si>
  <si>
    <t>Wilkinson</t>
  </si>
  <si>
    <t xml:space="preserve">81-2157 </t>
  </si>
  <si>
    <t>Scholarship Name</t>
  </si>
  <si>
    <t>Last Name</t>
  </si>
  <si>
    <t>First Name</t>
  </si>
  <si>
    <t>Email</t>
  </si>
  <si>
    <t>Brink (lc)</t>
  </si>
  <si>
    <t>Jack Gray</t>
  </si>
  <si>
    <t>Rehmann</t>
  </si>
  <si>
    <t>RSM US Foundation Scholarship</t>
  </si>
  <si>
    <t>WOODFORD</t>
  </si>
  <si>
    <t>Brent Woodford Endowed Scholarship in Accounting</t>
  </si>
  <si>
    <t>no restrictions</t>
  </si>
  <si>
    <t>PEDERSEN</t>
  </si>
  <si>
    <t>Erik M. Pedersen Scholarship in Accounting</t>
  </si>
  <si>
    <t>2 @ 2000</t>
  </si>
  <si>
    <t>preferred to top admitted PhD in Acctg    (if no admitted doctoral students it goes to top MSA student)</t>
  </si>
  <si>
    <t>usually just over 1.5 GA's</t>
  </si>
  <si>
    <t>should cover 2 whole GA's</t>
  </si>
  <si>
    <r>
      <t xml:space="preserve">1 at $1,500  </t>
    </r>
    <r>
      <rPr>
        <b/>
        <sz val="9"/>
        <color theme="1"/>
        <rFont val="Times New Roman"/>
        <family val="1"/>
      </rPr>
      <t xml:space="preserve">                          UN Preference</t>
    </r>
  </si>
  <si>
    <t xml:space="preserve">
Shannon selects student</t>
  </si>
  <si>
    <t>HICKOK</t>
  </si>
  <si>
    <t>H. Hugh Hickok Endowed Scholarship</t>
  </si>
  <si>
    <t>Preference shall be given to students who have served in the United States Armed Forces or students who are currently in the ROTC program at MSU</t>
  </si>
  <si>
    <t>EYVAC</t>
  </si>
  <si>
    <t>1 GA for ITM 209</t>
  </si>
  <si>
    <t>We ARE renewing last year's recipients who are still students. Award them first then add in another rising freshman.</t>
  </si>
  <si>
    <t>REHMANN</t>
  </si>
  <si>
    <t>Rehmann Accounting Scholarship</t>
  </si>
  <si>
    <t>Carry Forward from Current FY</t>
  </si>
  <si>
    <t>Projected Distribution (Endowment System)</t>
  </si>
  <si>
    <t>Recipients = Shannon's choice
this number is for SS24 disbursal</t>
  </si>
  <si>
    <t>award amount determinded by calendar year donation (not FY)</t>
  </si>
  <si>
    <t>one award - determined by ACC directors</t>
  </si>
  <si>
    <t>determined by Teagan and IT specialization committee</t>
  </si>
  <si>
    <t>ME&amp;I gives $1,000
CSE gives $1,000</t>
  </si>
  <si>
    <t>RT101815</t>
  </si>
  <si>
    <t>RL100077</t>
  </si>
  <si>
    <t>any eligible student</t>
  </si>
  <si>
    <t>Teagan Dixon selects students (2@2,000)</t>
  </si>
  <si>
    <r>
      <t xml:space="preserve">2 - $1,500 Scholarships, maintain 3.2 GPA or higher, preference should be undergrads who are active on campus and have not yet committed full-time to a firm.                           </t>
    </r>
    <r>
      <rPr>
        <b/>
        <sz val="9"/>
        <color theme="1"/>
        <rFont val="Times New Roman"/>
        <family val="1"/>
      </rPr>
      <t xml:space="preserve"> UN ONLY</t>
    </r>
  </si>
  <si>
    <t>1 - 1,500                      Preference to UN students</t>
  </si>
  <si>
    <r>
      <t xml:space="preserve">Undergraduate students pursuing a major in accounting will be eligible for this award. First preference will be given to students who are residents of the Upper Peninsula of Michigan. Additional preference will be given to students with financial need.
      2 @ 2,500         </t>
    </r>
    <r>
      <rPr>
        <b/>
        <sz val="9"/>
        <color theme="1"/>
        <rFont val="Times New Roman"/>
        <family val="1"/>
      </rPr>
      <t>UN  ONLY</t>
    </r>
  </si>
  <si>
    <t>preference for MS students</t>
  </si>
  <si>
    <r>
      <t xml:space="preserve">2 @ 1,000                                    </t>
    </r>
    <r>
      <rPr>
        <b/>
        <sz val="9"/>
        <color theme="1"/>
        <rFont val="Times New Roman"/>
        <family val="1"/>
      </rPr>
      <t>GR</t>
    </r>
  </si>
  <si>
    <t>Preference MS Students</t>
  </si>
  <si>
    <t>NEED BASED
Preference to (in order of priority):
1) UN student (junior or above) who attended high school in Troy/Pontiac, MI
2) UN student (junior or above) who attended high school in MI
3) Any other if above two are not usable</t>
  </si>
  <si>
    <r>
      <t>one per year - acctg or info. systems junior or senior or MS; preference to internal audit experience</t>
    </r>
    <r>
      <rPr>
        <b/>
        <sz val="9"/>
        <color theme="1"/>
        <rFont val="Times New Roman"/>
        <family val="1"/>
      </rPr>
      <t xml:space="preserve"> AND MI resident</t>
    </r>
    <r>
      <rPr>
        <sz val="9"/>
        <color theme="1"/>
        <rFont val="Times New Roman"/>
        <family val="1"/>
      </rPr>
      <t xml:space="preserve">            </t>
    </r>
    <r>
      <rPr>
        <b/>
        <sz val="9"/>
        <rFont val="Times New Roman"/>
        <family val="1"/>
      </rPr>
      <t>FALL    UN or GR</t>
    </r>
  </si>
  <si>
    <t>Incoming ACC PhD OR top MSA if no PhD available</t>
  </si>
  <si>
    <t>1 / INTERNAL AUDIT and MI Resident</t>
  </si>
  <si>
    <t>Pedersen</t>
  </si>
  <si>
    <t>Hickok</t>
  </si>
  <si>
    <t>Woodford</t>
  </si>
  <si>
    <t>KOIVISTO</t>
  </si>
  <si>
    <t>Any graduate or undergraduate accounting student</t>
  </si>
  <si>
    <t>Koivisto</t>
  </si>
  <si>
    <t xml:space="preserve">25,000 for Fellow, 45,000 Professorship, remaining for scholarship / dept use </t>
  </si>
  <si>
    <t xml:space="preserve">No agreement, go off KFS dollar value </t>
  </si>
  <si>
    <t>RT102019</t>
  </si>
  <si>
    <t>RL100100</t>
  </si>
  <si>
    <t>RT101701</t>
  </si>
  <si>
    <t>4 scholarships 5k each</t>
  </si>
  <si>
    <t>1 award @ 1,500</t>
  </si>
  <si>
    <t>KPMG</t>
  </si>
  <si>
    <t>KPMG Accounting &amp; Information Systems Expendable Scholarship</t>
  </si>
  <si>
    <t>Julie Koivisto Memorial Accounting Scholarship</t>
  </si>
  <si>
    <t>green and purple= reinvest no option, no balance forward</t>
  </si>
  <si>
    <t>green and oranage = either hold or reinvest with option, may have a balance forward</t>
  </si>
  <si>
    <t>COMMITTEE WORKING TOTAL (2025-26)</t>
  </si>
  <si>
    <t>gave $2500 last year, ck to see if that is the max amount to give</t>
  </si>
  <si>
    <t>RL100117</t>
  </si>
  <si>
    <t>signed comitment for undergarad</t>
  </si>
  <si>
    <t xml:space="preserve">2 @ 1,000
Preference: undergraduate </t>
  </si>
  <si>
    <t>1 @ 1500
preference: Undergrad</t>
  </si>
  <si>
    <t xml:space="preserve">first year awarding a scholarship
last years' note "total committed is 2,500"
</t>
  </si>
  <si>
    <t>student was deferred in 24-25, not awarded to anyone else</t>
  </si>
  <si>
    <t>11 @ $1,500</t>
  </si>
  <si>
    <t xml:space="preserve">217,089.05 exp dist amt
135,000 for EYCC
45,000 for Prof
5,000 req by agreement
17,604.19 Added to Scholarship
14,484.86 currently unallocated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</si>
</sst>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43" formatCode="_(* #,##0.00_);_(* \(#,##0.00\);_(* &quot;-&quot;??_);_(@_)"/>
  </numFmts>
  <fonts count="49" x14ac:knownFonts="1">
    <font>
      <sz val="11"/>
      <color theme="1"/>
      <name val="Calibri"/>
      <family val="2"/>
      <scheme val="minor"/>
    </font>
    <font>
      <b/>
      <sz val="9"/>
      <color theme="1"/>
      <name val="Times New Roman"/>
      <family val="1"/>
    </font>
    <font>
      <sz val="9"/>
      <color theme="1"/>
      <name val="Times New Roman"/>
      <family val="1"/>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Arial"/>
      <family val="2"/>
    </font>
    <font>
      <sz val="10"/>
      <name val="Arial"/>
      <family val="2"/>
    </font>
    <font>
      <sz val="10"/>
      <name val="Arial"/>
      <family val="2"/>
    </font>
    <font>
      <u/>
      <sz val="10"/>
      <color theme="10"/>
      <name val="Arial"/>
      <family val="2"/>
    </font>
    <font>
      <u/>
      <sz val="11"/>
      <color theme="10"/>
      <name val="Calibri"/>
      <family val="2"/>
      <scheme val="minor"/>
    </font>
    <font>
      <u/>
      <sz val="10"/>
      <color indexed="12"/>
      <name val="MS Sans Serif"/>
      <family val="2"/>
    </font>
    <font>
      <sz val="9"/>
      <name val="Times New Roman"/>
      <family val="1"/>
    </font>
    <font>
      <sz val="9"/>
      <color rgb="FFFF0000"/>
      <name val="Times New Roman"/>
      <family val="1"/>
    </font>
    <font>
      <sz val="11"/>
      <name val="Calibri"/>
      <family val="2"/>
      <scheme val="minor"/>
    </font>
    <font>
      <b/>
      <sz val="9"/>
      <name val="Times New Roman"/>
      <family val="1"/>
    </font>
    <font>
      <b/>
      <sz val="9"/>
      <color rgb="FF00B0F0"/>
      <name val="Times New Roman"/>
      <family val="1"/>
    </font>
    <font>
      <sz val="8"/>
      <name val="Calibri"/>
      <family val="2"/>
      <scheme val="minor"/>
    </font>
    <font>
      <b/>
      <sz val="12"/>
      <color rgb="FFFF0000"/>
      <name val="Calibri"/>
      <family val="2"/>
    </font>
    <font>
      <b/>
      <sz val="12"/>
      <name val="Calibri"/>
      <family val="2"/>
    </font>
    <font>
      <sz val="12"/>
      <name val="Calibri"/>
      <family val="2"/>
    </font>
    <font>
      <sz val="12"/>
      <color rgb="FFFF0000"/>
      <name val="Calibri"/>
      <family val="2"/>
    </font>
    <font>
      <sz val="12"/>
      <color theme="1"/>
      <name val="Calibri"/>
      <family val="2"/>
    </font>
    <font>
      <b/>
      <sz val="12"/>
      <color theme="1"/>
      <name val="Calibri"/>
      <family val="2"/>
      <scheme val="minor"/>
    </font>
    <font>
      <sz val="12"/>
      <color theme="3"/>
      <name val="Calibri"/>
      <family val="2"/>
    </font>
    <font>
      <sz val="12"/>
      <color theme="1"/>
      <name val="Calibri"/>
      <family val="2"/>
      <scheme val="minor"/>
    </font>
    <font>
      <b/>
      <i/>
      <sz val="12"/>
      <name val="Calibri"/>
      <family val="2"/>
    </font>
    <font>
      <b/>
      <sz val="12"/>
      <color theme="1"/>
      <name val="Calibri"/>
      <family val="2"/>
    </font>
    <font>
      <sz val="12"/>
      <color theme="1"/>
      <name val="Times New Roman"/>
      <family val="1"/>
    </font>
    <font>
      <u/>
      <sz val="12"/>
      <name val="Times New Roman"/>
      <family val="1"/>
    </font>
    <font>
      <u/>
      <sz val="12"/>
      <color theme="10"/>
      <name val="Times New Roman"/>
      <family val="1"/>
    </font>
    <font>
      <sz val="12"/>
      <name val="Calibri"/>
      <family val="2"/>
      <scheme val="minor"/>
    </font>
    <font>
      <sz val="12"/>
      <name val="Times New Roman"/>
      <family val="1"/>
    </font>
    <font>
      <sz val="9"/>
      <color rgb="FF000000"/>
      <name val="Times New Roman"/>
      <family val="1"/>
    </font>
    <font>
      <sz val="10"/>
      <color theme="1"/>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66FFFF"/>
        <bgColor indexed="64"/>
      </patternFill>
    </fill>
    <fill>
      <patternFill patternType="solid">
        <fgColor theme="9" tint="0.79998168889431442"/>
        <bgColor indexed="64"/>
      </patternFill>
    </fill>
    <fill>
      <patternFill patternType="solid">
        <fgColor rgb="FFCCFFCC"/>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right style="thin">
        <color indexed="64"/>
      </right>
      <top/>
      <bottom/>
      <diagonal/>
    </border>
  </borders>
  <cellStyleXfs count="73">
    <xf numFmtId="0" fontId="0" fillId="0" borderId="0"/>
    <xf numFmtId="0" fontId="5" fillId="0" borderId="0" applyNumberFormat="0" applyFill="0" applyBorder="0" applyAlignment="0" applyProtection="0"/>
    <xf numFmtId="0" fontId="6" fillId="0" borderId="4" applyNumberFormat="0" applyFill="0" applyAlignment="0" applyProtection="0"/>
    <xf numFmtId="0" fontId="7" fillId="0" borderId="5" applyNumberFormat="0" applyFill="0" applyAlignment="0" applyProtection="0"/>
    <xf numFmtId="0" fontId="8" fillId="0" borderId="6"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7" applyNumberFormat="0" applyAlignment="0" applyProtection="0"/>
    <xf numFmtId="0" fontId="13" fillId="6" borderId="8" applyNumberFormat="0" applyAlignment="0" applyProtection="0"/>
    <xf numFmtId="0" fontId="14" fillId="6" borderId="7" applyNumberFormat="0" applyAlignment="0" applyProtection="0"/>
    <xf numFmtId="0" fontId="15" fillId="0" borderId="9" applyNumberFormat="0" applyFill="0" applyAlignment="0" applyProtection="0"/>
    <xf numFmtId="0" fontId="16" fillId="7" borderId="10" applyNumberFormat="0" applyAlignment="0" applyProtection="0"/>
    <xf numFmtId="0" fontId="17" fillId="0" borderId="0" applyNumberFormat="0" applyFill="0" applyBorder="0" applyAlignment="0" applyProtection="0"/>
    <xf numFmtId="0" fontId="4" fillId="8" borderId="11" applyNumberFormat="0" applyFont="0" applyAlignment="0" applyProtection="0"/>
    <xf numFmtId="0" fontId="18" fillId="0" borderId="0" applyNumberFormat="0" applyFill="0" applyBorder="0" applyAlignment="0" applyProtection="0"/>
    <xf numFmtId="0" fontId="3" fillId="0" borderId="12" applyNumberFormat="0" applyFill="0" applyAlignment="0" applyProtection="0"/>
    <xf numFmtId="0" fontId="19"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19" fillId="32" borderId="0" applyNumberFormat="0" applyBorder="0" applyAlignment="0" applyProtection="0"/>
    <xf numFmtId="0" fontId="20" fillId="0" borderId="0"/>
    <xf numFmtId="0" fontId="21" fillId="0" borderId="0"/>
    <xf numFmtId="0" fontId="21" fillId="0" borderId="0"/>
    <xf numFmtId="0" fontId="21" fillId="0" borderId="0"/>
    <xf numFmtId="0" fontId="20" fillId="0" borderId="0"/>
    <xf numFmtId="0" fontId="21" fillId="0" borderId="0"/>
    <xf numFmtId="0" fontId="22" fillId="0" borderId="0"/>
    <xf numFmtId="43" fontId="22" fillId="0" borderId="0" applyFont="0" applyFill="0" applyBorder="0" applyAlignment="0" applyProtection="0"/>
    <xf numFmtId="43" fontId="21" fillId="0" borderId="0" applyFont="0" applyFill="0" applyBorder="0" applyAlignment="0" applyProtection="0"/>
    <xf numFmtId="0" fontId="21" fillId="0" borderId="0"/>
    <xf numFmtId="43" fontId="21" fillId="0" borderId="0" applyFont="0" applyFill="0" applyBorder="0" applyAlignment="0" applyProtection="0"/>
    <xf numFmtId="43" fontId="21" fillId="0" borderId="0" applyFont="0" applyFill="0" applyBorder="0" applyAlignment="0" applyProtection="0"/>
    <xf numFmtId="0" fontId="21" fillId="0" borderId="0"/>
    <xf numFmtId="43" fontId="21" fillId="0" borderId="0" applyFont="0" applyFill="0" applyBorder="0" applyAlignment="0" applyProtection="0"/>
    <xf numFmtId="0" fontId="21" fillId="0" borderId="0"/>
    <xf numFmtId="0" fontId="24" fillId="0" borderId="0" applyNumberFormat="0" applyFill="0" applyBorder="0" applyAlignment="0" applyProtection="0"/>
    <xf numFmtId="0" fontId="23" fillId="0" borderId="0" applyNumberFormat="0" applyFill="0" applyBorder="0" applyAlignment="0" applyProtection="0">
      <alignment vertical="top"/>
      <protection locked="0"/>
    </xf>
    <xf numFmtId="43" fontId="4" fillId="0" borderId="0" applyFont="0" applyFill="0" applyBorder="0" applyAlignment="0" applyProtection="0"/>
    <xf numFmtId="0" fontId="21" fillId="0" borderId="0"/>
    <xf numFmtId="44" fontId="21" fillId="0" borderId="0" applyFont="0" applyFill="0" applyBorder="0" applyAlignment="0" applyProtection="0"/>
    <xf numFmtId="44" fontId="21" fillId="0" borderId="0" applyFont="0" applyFill="0" applyBorder="0" applyAlignment="0" applyProtection="0"/>
    <xf numFmtId="43" fontId="21" fillId="0" borderId="0" applyFont="0" applyFill="0" applyBorder="0" applyAlignment="0" applyProtection="0"/>
    <xf numFmtId="44" fontId="4" fillId="0" borderId="0" applyFont="0" applyFill="0" applyBorder="0" applyAlignment="0" applyProtection="0"/>
    <xf numFmtId="0" fontId="25" fillId="0" borderId="0" applyNumberFormat="0" applyFill="0" applyBorder="0" applyAlignment="0" applyProtection="0"/>
    <xf numFmtId="43" fontId="4" fillId="0" borderId="0" applyFont="0" applyFill="0" applyBorder="0" applyAlignment="0" applyProtection="0"/>
    <xf numFmtId="0" fontId="24" fillId="0" borderId="0" applyNumberFormat="0" applyFill="0" applyBorder="0" applyAlignment="0" applyProtection="0"/>
    <xf numFmtId="0" fontId="21" fillId="0" borderId="0"/>
    <xf numFmtId="43" fontId="21" fillId="0" borderId="0" applyFont="0" applyFill="0" applyBorder="0" applyAlignment="0" applyProtection="0"/>
    <xf numFmtId="43" fontId="4" fillId="0" borderId="0" applyFont="0" applyFill="0" applyBorder="0" applyAlignment="0" applyProtection="0"/>
    <xf numFmtId="44" fontId="21" fillId="0" borderId="0" applyFont="0" applyFill="0" applyBorder="0" applyAlignment="0" applyProtection="0"/>
    <xf numFmtId="0" fontId="4" fillId="0" borderId="0"/>
  </cellStyleXfs>
  <cellXfs count="187">
    <xf numFmtId="0" fontId="0" fillId="0" borderId="0" xfId="0"/>
    <xf numFmtId="0" fontId="2" fillId="0" borderId="0" xfId="0" applyFont="1" applyAlignment="1">
      <alignment wrapText="1"/>
    </xf>
    <xf numFmtId="0" fontId="2" fillId="0" borderId="0" xfId="0" applyFont="1" applyAlignment="1">
      <alignment horizontal="left" wrapText="1"/>
    </xf>
    <xf numFmtId="0" fontId="2" fillId="0" borderId="0" xfId="0" applyFont="1" applyAlignment="1">
      <alignment vertical="top" wrapText="1"/>
    </xf>
    <xf numFmtId="0" fontId="2" fillId="0" borderId="0" xfId="0" applyFont="1" applyAlignment="1">
      <alignment horizontal="center" vertical="center" wrapText="1"/>
    </xf>
    <xf numFmtId="0" fontId="2" fillId="0" borderId="1" xfId="0" applyFont="1" applyBorder="1" applyAlignment="1">
      <alignment horizontal="left" vertical="top" wrapText="1"/>
    </xf>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wrapText="1"/>
    </xf>
    <xf numFmtId="0" fontId="1" fillId="0" borderId="1" xfId="0" applyFont="1" applyBorder="1" applyAlignment="1">
      <alignment wrapText="1"/>
    </xf>
    <xf numFmtId="3" fontId="0" fillId="0" borderId="0" xfId="0" applyNumberFormat="1"/>
    <xf numFmtId="3" fontId="2" fillId="0" borderId="0" xfId="0" applyNumberFormat="1" applyFont="1" applyAlignment="1">
      <alignment wrapText="1"/>
    </xf>
    <xf numFmtId="0" fontId="2" fillId="0" borderId="2" xfId="0" applyFont="1" applyBorder="1" applyAlignment="1">
      <alignment horizontal="left" vertical="center" wrapText="1"/>
    </xf>
    <xf numFmtId="0" fontId="26" fillId="0" borderId="1" xfId="0" applyFont="1" applyBorder="1" applyAlignment="1">
      <alignment horizontal="center" vertical="center" wrapText="1"/>
    </xf>
    <xf numFmtId="0" fontId="26" fillId="0" borderId="1" xfId="0" applyFont="1" applyBorder="1" applyAlignment="1">
      <alignment horizontal="left" vertical="center" wrapText="1"/>
    </xf>
    <xf numFmtId="0" fontId="26" fillId="0" borderId="1" xfId="0" applyFont="1" applyBorder="1" applyAlignment="1">
      <alignment wrapText="1"/>
    </xf>
    <xf numFmtId="0" fontId="26" fillId="0" borderId="0" xfId="0" applyFont="1" applyAlignment="1">
      <alignment wrapText="1"/>
    </xf>
    <xf numFmtId="0" fontId="1" fillId="0" borderId="13" xfId="0" applyFont="1" applyBorder="1" applyAlignment="1">
      <alignment horizontal="center" vertical="center" wrapText="1"/>
    </xf>
    <xf numFmtId="0" fontId="1" fillId="33" borderId="13" xfId="0" applyFont="1" applyFill="1" applyBorder="1" applyAlignment="1">
      <alignment horizontal="center" vertical="center" wrapText="1"/>
    </xf>
    <xf numFmtId="0" fontId="2" fillId="0" borderId="14" xfId="0" applyFont="1" applyBorder="1" applyAlignment="1">
      <alignment horizontal="center" vertical="center" wrapText="1"/>
    </xf>
    <xf numFmtId="0" fontId="2" fillId="0" borderId="14" xfId="0" applyFont="1" applyBorder="1" applyAlignment="1">
      <alignment horizontal="left" vertical="center" wrapText="1"/>
    </xf>
    <xf numFmtId="0" fontId="3" fillId="0" borderId="1" xfId="0" applyFont="1" applyBorder="1"/>
    <xf numFmtId="14" fontId="2" fillId="0" borderId="15" xfId="0" applyNumberFormat="1" applyFont="1" applyBorder="1" applyAlignment="1">
      <alignment horizontal="center" vertical="center" wrapText="1"/>
    </xf>
    <xf numFmtId="49" fontId="1"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left" vertical="top" wrapText="1"/>
    </xf>
    <xf numFmtId="49" fontId="26" fillId="0" borderId="1" xfId="0" applyNumberFormat="1" applyFont="1" applyBorder="1" applyAlignment="1">
      <alignment horizontal="left" vertical="center" wrapText="1"/>
    </xf>
    <xf numFmtId="49" fontId="2" fillId="0" borderId="0" xfId="0" applyNumberFormat="1" applyFont="1" applyAlignment="1">
      <alignment wrapText="1"/>
    </xf>
    <xf numFmtId="49" fontId="2" fillId="0" borderId="15" xfId="0" applyNumberFormat="1" applyFont="1" applyBorder="1" applyAlignment="1">
      <alignment horizontal="left" vertical="center" wrapText="1"/>
    </xf>
    <xf numFmtId="49" fontId="26" fillId="0" borderId="1" xfId="0" applyNumberFormat="1" applyFont="1" applyBorder="1" applyAlignment="1">
      <alignment horizontal="left" vertical="top" wrapText="1"/>
    </xf>
    <xf numFmtId="49" fontId="1" fillId="0" borderId="0" xfId="0" applyNumberFormat="1" applyFont="1" applyAlignment="1">
      <alignment vertical="center"/>
    </xf>
    <xf numFmtId="49" fontId="1" fillId="0" borderId="1" xfId="0" applyNumberFormat="1" applyFont="1" applyBorder="1" applyAlignment="1">
      <alignment wrapText="1"/>
    </xf>
    <xf numFmtId="0" fontId="2" fillId="0" borderId="15" xfId="0" applyFont="1" applyBorder="1" applyAlignment="1">
      <alignment wrapText="1"/>
    </xf>
    <xf numFmtId="49" fontId="2" fillId="0" borderId="15" xfId="0" applyNumberFormat="1" applyFont="1" applyBorder="1" applyAlignment="1">
      <alignment horizontal="left" vertical="top" wrapText="1"/>
    </xf>
    <xf numFmtId="0" fontId="27" fillId="0" borderId="0" xfId="0" applyFont="1" applyAlignment="1">
      <alignment wrapText="1"/>
    </xf>
    <xf numFmtId="49" fontId="1" fillId="0" borderId="3" xfId="0" applyNumberFormat="1" applyFont="1" applyBorder="1" applyAlignment="1">
      <alignment horizontal="left" vertical="center" wrapText="1"/>
    </xf>
    <xf numFmtId="0" fontId="29" fillId="0" borderId="1" xfId="0" applyFont="1" applyBorder="1" applyAlignment="1">
      <alignment horizontal="center" vertical="center" wrapText="1"/>
    </xf>
    <xf numFmtId="0" fontId="26"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17" xfId="0" applyFont="1" applyBorder="1" applyAlignment="1">
      <alignment horizontal="left" wrapText="1"/>
    </xf>
    <xf numFmtId="0" fontId="2" fillId="0" borderId="17" xfId="0" applyFont="1" applyBorder="1" applyAlignment="1">
      <alignment wrapText="1"/>
    </xf>
    <xf numFmtId="49" fontId="2" fillId="0" borderId="17" xfId="0" applyNumberFormat="1" applyFont="1" applyBorder="1" applyAlignment="1">
      <alignment wrapText="1"/>
    </xf>
    <xf numFmtId="3" fontId="2" fillId="0" borderId="17" xfId="0" applyNumberFormat="1" applyFont="1" applyBorder="1" applyAlignment="1">
      <alignment horizontal="center" vertical="center" wrapText="1"/>
    </xf>
    <xf numFmtId="3" fontId="0" fillId="0" borderId="18" xfId="0" applyNumberFormat="1" applyBorder="1"/>
    <xf numFmtId="0" fontId="2" fillId="34" borderId="1" xfId="0" applyFont="1" applyFill="1" applyBorder="1" applyAlignment="1">
      <alignment wrapText="1"/>
    </xf>
    <xf numFmtId="0" fontId="1" fillId="0" borderId="16" xfId="0" applyFont="1" applyBorder="1" applyAlignment="1">
      <alignment horizontal="center" vertical="center" wrapText="1"/>
    </xf>
    <xf numFmtId="0" fontId="2" fillId="0" borderId="16" xfId="0" applyFont="1" applyBorder="1" applyAlignment="1">
      <alignment horizontal="center" vertical="center" wrapText="1"/>
    </xf>
    <xf numFmtId="0" fontId="0" fillId="0" borderId="16" xfId="0" applyBorder="1"/>
    <xf numFmtId="0" fontId="27" fillId="0" borderId="16" xfId="0" applyFont="1" applyBorder="1" applyAlignment="1">
      <alignment vertical="top" wrapText="1"/>
    </xf>
    <xf numFmtId="0" fontId="0" fillId="0" borderId="16" xfId="0" applyBorder="1" applyAlignment="1">
      <alignment vertical="center"/>
    </xf>
    <xf numFmtId="0" fontId="2" fillId="0" borderId="16" xfId="0" applyFont="1" applyBorder="1" applyAlignment="1">
      <alignment horizontal="center" vertical="center"/>
    </xf>
    <xf numFmtId="0" fontId="2" fillId="0" borderId="16" xfId="0" applyFont="1" applyBorder="1" applyAlignment="1">
      <alignment horizontal="left" vertical="center" wrapText="1"/>
    </xf>
    <xf numFmtId="0" fontId="2" fillId="0" borderId="16" xfId="0" applyFont="1" applyBorder="1" applyAlignment="1">
      <alignment vertical="top" wrapText="1"/>
    </xf>
    <xf numFmtId="0" fontId="26" fillId="0" borderId="16" xfId="0" applyFont="1" applyBorder="1" applyAlignment="1">
      <alignment horizontal="center" vertical="center"/>
    </xf>
    <xf numFmtId="0" fontId="2" fillId="35" borderId="0" xfId="0" applyFont="1" applyFill="1" applyAlignment="1">
      <alignment horizontal="center" vertical="center" wrapText="1"/>
    </xf>
    <xf numFmtId="0" fontId="26" fillId="36" borderId="0" xfId="0" applyFont="1" applyFill="1" applyAlignment="1">
      <alignment horizontal="center" wrapText="1"/>
    </xf>
    <xf numFmtId="0" fontId="2" fillId="35" borderId="1" xfId="0" applyFont="1" applyFill="1" applyBorder="1" applyAlignment="1">
      <alignment horizontal="center" vertical="center" wrapText="1"/>
    </xf>
    <xf numFmtId="0" fontId="26" fillId="35" borderId="1" xfId="0" applyFont="1" applyFill="1" applyBorder="1" applyAlignment="1">
      <alignment horizontal="center" vertical="center" wrapText="1"/>
    </xf>
    <xf numFmtId="0" fontId="2" fillId="36" borderId="1" xfId="0" applyFont="1" applyFill="1" applyBorder="1" applyAlignment="1">
      <alignment horizontal="center" vertical="center" wrapText="1"/>
    </xf>
    <xf numFmtId="0" fontId="2" fillId="36" borderId="14" xfId="0" applyFont="1" applyFill="1" applyBorder="1" applyAlignment="1">
      <alignment horizontal="center" vertical="center" wrapText="1"/>
    </xf>
    <xf numFmtId="0" fontId="2" fillId="36" borderId="2" xfId="0" applyFont="1" applyFill="1" applyBorder="1" applyAlignment="1">
      <alignment horizontal="center" vertical="center" wrapText="1"/>
    </xf>
    <xf numFmtId="0" fontId="26" fillId="36" borderId="1" xfId="0" applyFont="1" applyFill="1" applyBorder="1" applyAlignment="1">
      <alignment horizontal="center" vertical="center" wrapText="1"/>
    </xf>
    <xf numFmtId="49" fontId="1" fillId="37" borderId="13" xfId="0" applyNumberFormat="1" applyFont="1" applyFill="1" applyBorder="1" applyAlignment="1">
      <alignment horizontal="center" vertical="center" wrapText="1"/>
    </xf>
    <xf numFmtId="43" fontId="2" fillId="38" borderId="1" xfId="66" applyFont="1" applyFill="1" applyBorder="1" applyAlignment="1">
      <alignment horizontal="center" vertical="center" wrapText="1"/>
    </xf>
    <xf numFmtId="43" fontId="2" fillId="38" borderId="3" xfId="66" applyFont="1" applyFill="1" applyBorder="1" applyAlignment="1">
      <alignment horizontal="center" vertical="center" wrapText="1"/>
    </xf>
    <xf numFmtId="43" fontId="2" fillId="38" borderId="2" xfId="66" applyFont="1" applyFill="1" applyBorder="1" applyAlignment="1">
      <alignment horizontal="center" vertical="center" wrapText="1"/>
    </xf>
    <xf numFmtId="43" fontId="26" fillId="38" borderId="1" xfId="66" applyFont="1" applyFill="1" applyBorder="1" applyAlignment="1">
      <alignment horizontal="center" vertical="center" wrapText="1"/>
    </xf>
    <xf numFmtId="43" fontId="2" fillId="38" borderId="0" xfId="66" applyFont="1" applyFill="1" applyAlignment="1">
      <alignment horizontal="center" vertical="center" wrapText="1"/>
    </xf>
    <xf numFmtId="43" fontId="2" fillId="38" borderId="19" xfId="66" applyFont="1" applyFill="1" applyBorder="1" applyAlignment="1">
      <alignment horizontal="center" vertical="center" wrapText="1"/>
    </xf>
    <xf numFmtId="49" fontId="2" fillId="0" borderId="17" xfId="0" applyNumberFormat="1" applyFont="1" applyBorder="1" applyAlignment="1">
      <alignment horizontal="center" vertical="center" wrapText="1"/>
    </xf>
    <xf numFmtId="49" fontId="2" fillId="0" borderId="0" xfId="0" applyNumberFormat="1" applyFont="1" applyAlignment="1">
      <alignment horizontal="center" vertical="center" wrapText="1"/>
    </xf>
    <xf numFmtId="0" fontId="0" fillId="0" borderId="16" xfId="0" applyBorder="1" applyAlignment="1">
      <alignment wrapText="1"/>
    </xf>
    <xf numFmtId="0" fontId="2" fillId="0" borderId="16" xfId="0" applyFont="1" applyBorder="1" applyAlignment="1">
      <alignment vertical="center" wrapText="1"/>
    </xf>
    <xf numFmtId="0" fontId="32" fillId="0" borderId="0" xfId="0" applyFont="1" applyAlignment="1">
      <alignment horizontal="center" wrapText="1"/>
    </xf>
    <xf numFmtId="3" fontId="32" fillId="0" borderId="0" xfId="66" applyNumberFormat="1" applyFont="1" applyFill="1" applyBorder="1" applyAlignment="1">
      <alignment horizontal="center"/>
    </xf>
    <xf numFmtId="0" fontId="32" fillId="0" borderId="0" xfId="0" applyFont="1"/>
    <xf numFmtId="0" fontId="32" fillId="0" borderId="0" xfId="0" applyFont="1" applyAlignment="1">
      <alignment horizontal="left" wrapText="1"/>
    </xf>
    <xf numFmtId="0" fontId="33" fillId="0" borderId="0" xfId="0" applyFont="1" applyAlignment="1">
      <alignment horizontal="center" wrapText="1"/>
    </xf>
    <xf numFmtId="0" fontId="39" fillId="0" borderId="0" xfId="0" applyFont="1"/>
    <xf numFmtId="0" fontId="42" fillId="0" borderId="0" xfId="0" applyFont="1" applyAlignment="1">
      <alignment horizontal="center" vertical="center"/>
    </xf>
    <xf numFmtId="3" fontId="34" fillId="0" borderId="0" xfId="66" applyNumberFormat="1" applyFont="1" applyFill="1" applyBorder="1" applyAlignment="1">
      <alignment horizontal="center"/>
    </xf>
    <xf numFmtId="3" fontId="35" fillId="0" borderId="0" xfId="66" applyNumberFormat="1" applyFont="1" applyFill="1" applyBorder="1" applyAlignment="1">
      <alignment horizontal="center"/>
    </xf>
    <xf numFmtId="0" fontId="34" fillId="0" borderId="0" xfId="0" applyFont="1"/>
    <xf numFmtId="0" fontId="34" fillId="0" borderId="0" xfId="0" applyFont="1" applyAlignment="1">
      <alignment horizontal="left" wrapText="1"/>
    </xf>
    <xf numFmtId="3" fontId="33" fillId="0" borderId="0" xfId="66" applyNumberFormat="1" applyFont="1" applyFill="1" applyBorder="1" applyAlignment="1">
      <alignment horizontal="center"/>
    </xf>
    <xf numFmtId="0" fontId="34" fillId="0" borderId="0" xfId="0" applyFont="1" applyAlignment="1">
      <alignment horizontal="center" wrapText="1"/>
    </xf>
    <xf numFmtId="3" fontId="34" fillId="0" borderId="0" xfId="66" applyNumberFormat="1" applyFont="1" applyFill="1" applyBorder="1" applyAlignment="1">
      <alignment horizontal="center" wrapText="1"/>
    </xf>
    <xf numFmtId="0" fontId="36" fillId="0" borderId="0" xfId="0" applyFont="1"/>
    <xf numFmtId="0" fontId="36" fillId="0" borderId="0" xfId="0" applyFont="1" applyAlignment="1">
      <alignment vertical="top"/>
    </xf>
    <xf numFmtId="0" fontId="33" fillId="0" borderId="0" xfId="0" applyFont="1" applyAlignment="1">
      <alignment horizontal="left" wrapText="1"/>
    </xf>
    <xf numFmtId="0" fontId="35" fillId="0" borderId="0" xfId="0" applyFont="1" applyAlignment="1">
      <alignment horizontal="center" wrapText="1"/>
    </xf>
    <xf numFmtId="0" fontId="36" fillId="0" borderId="0" xfId="0" applyFont="1" applyAlignment="1">
      <alignment wrapText="1"/>
    </xf>
    <xf numFmtId="0" fontId="37" fillId="0" borderId="0" xfId="0" applyFont="1"/>
    <xf numFmtId="0" fontId="35" fillId="0" borderId="0" xfId="0" applyFont="1" applyAlignment="1">
      <alignment horizontal="left" wrapText="1"/>
    </xf>
    <xf numFmtId="0" fontId="34" fillId="0" borderId="0" xfId="0" applyFont="1" applyAlignment="1">
      <alignment horizontal="center"/>
    </xf>
    <xf numFmtId="0" fontId="24" fillId="0" borderId="0" xfId="67" applyBorder="1" applyAlignment="1">
      <alignment horizontal="center" vertical="center"/>
    </xf>
    <xf numFmtId="0" fontId="24" fillId="0" borderId="0" xfId="67" applyFill="1" applyBorder="1" applyAlignment="1">
      <alignment horizontal="center"/>
    </xf>
    <xf numFmtId="0" fontId="38" fillId="0" borderId="0" xfId="0" applyFont="1" applyAlignment="1">
      <alignment horizontal="left" wrapText="1"/>
    </xf>
    <xf numFmtId="3" fontId="39" fillId="0" borderId="0" xfId="0" applyNumberFormat="1" applyFont="1" applyAlignment="1">
      <alignment horizontal="center"/>
    </xf>
    <xf numFmtId="0" fontId="43" fillId="0" borderId="0" xfId="67" applyFont="1" applyFill="1" applyBorder="1" applyAlignment="1">
      <alignment horizontal="center" vertical="center" wrapText="1"/>
    </xf>
    <xf numFmtId="0" fontId="44" fillId="0" borderId="0" xfId="67" applyFont="1" applyFill="1" applyBorder="1" applyAlignment="1">
      <alignment horizontal="center" vertical="center"/>
    </xf>
    <xf numFmtId="0" fontId="39" fillId="0" borderId="0" xfId="0" applyFont="1" applyAlignment="1">
      <alignment horizontal="center" vertical="center" wrapText="1"/>
    </xf>
    <xf numFmtId="3" fontId="34" fillId="0" borderId="0" xfId="0" applyNumberFormat="1" applyFont="1" applyAlignment="1">
      <alignment horizontal="center"/>
    </xf>
    <xf numFmtId="0" fontId="37" fillId="0" borderId="0" xfId="0" applyFont="1" applyAlignment="1">
      <alignment horizontal="left" wrapText="1"/>
    </xf>
    <xf numFmtId="0" fontId="33" fillId="0" borderId="0" xfId="0" applyFont="1" applyAlignment="1">
      <alignment horizontal="center"/>
    </xf>
    <xf numFmtId="0" fontId="41" fillId="0" borderId="0" xfId="0" applyFont="1" applyAlignment="1">
      <alignment horizontal="left" wrapText="1"/>
    </xf>
    <xf numFmtId="0" fontId="35" fillId="0" borderId="0" xfId="0" applyFont="1" applyAlignment="1">
      <alignment horizontal="center"/>
    </xf>
    <xf numFmtId="0" fontId="35" fillId="0" borderId="0" xfId="0" applyFont="1" applyAlignment="1">
      <alignment horizontal="left"/>
    </xf>
    <xf numFmtId="0" fontId="41" fillId="0" borderId="0" xfId="0" applyFont="1" applyAlignment="1">
      <alignment horizontal="left"/>
    </xf>
    <xf numFmtId="0" fontId="34" fillId="0" borderId="0" xfId="0" applyFont="1" applyAlignment="1">
      <alignment wrapText="1"/>
    </xf>
    <xf numFmtId="0" fontId="33" fillId="0" borderId="0" xfId="0" applyFont="1" applyAlignment="1">
      <alignment horizontal="left"/>
    </xf>
    <xf numFmtId="0" fontId="42" fillId="0" borderId="0" xfId="0" applyFont="1" applyAlignment="1">
      <alignment horizontal="center" vertical="center" wrapText="1"/>
    </xf>
    <xf numFmtId="0" fontId="36" fillId="0" borderId="0" xfId="0" applyFont="1" applyAlignment="1">
      <alignment horizontal="center" vertical="center" wrapText="1"/>
    </xf>
    <xf numFmtId="0" fontId="41" fillId="0" borderId="0" xfId="0" applyFont="1" applyAlignment="1">
      <alignment horizontal="center" vertical="center" wrapText="1"/>
    </xf>
    <xf numFmtId="0" fontId="36" fillId="0" borderId="0" xfId="0" applyFont="1" applyAlignment="1">
      <alignment horizontal="left"/>
    </xf>
    <xf numFmtId="0" fontId="36" fillId="0" borderId="0" xfId="0" applyFont="1" applyAlignment="1">
      <alignment horizontal="center"/>
    </xf>
    <xf numFmtId="0" fontId="24" fillId="0" borderId="0" xfId="67" applyBorder="1"/>
    <xf numFmtId="3" fontId="35" fillId="0" borderId="0" xfId="66" applyNumberFormat="1" applyFont="1" applyFill="1" applyBorder="1" applyAlignment="1">
      <alignment horizontal="center" wrapText="1"/>
    </xf>
    <xf numFmtId="0" fontId="41" fillId="0" borderId="0" xfId="0" applyFont="1" applyAlignment="1">
      <alignment wrapText="1"/>
    </xf>
    <xf numFmtId="3" fontId="32" fillId="0" borderId="20" xfId="66" applyNumberFormat="1" applyFont="1" applyFill="1" applyBorder="1" applyAlignment="1">
      <alignment horizontal="center"/>
    </xf>
    <xf numFmtId="3" fontId="35" fillId="0" borderId="20" xfId="66" applyNumberFormat="1" applyFont="1" applyFill="1" applyBorder="1" applyAlignment="1">
      <alignment horizontal="center"/>
    </xf>
    <xf numFmtId="3" fontId="33" fillId="0" borderId="20" xfId="66" applyNumberFormat="1" applyFont="1" applyFill="1" applyBorder="1" applyAlignment="1">
      <alignment horizontal="center"/>
    </xf>
    <xf numFmtId="3" fontId="34" fillId="0" borderId="20" xfId="66" applyNumberFormat="1" applyFont="1" applyFill="1" applyBorder="1" applyAlignment="1">
      <alignment horizontal="center" wrapText="1"/>
    </xf>
    <xf numFmtId="3" fontId="39" fillId="0" borderId="20" xfId="0" applyNumberFormat="1" applyFont="1" applyBorder="1" applyAlignment="1">
      <alignment horizontal="center"/>
    </xf>
    <xf numFmtId="3" fontId="34" fillId="0" borderId="20" xfId="66" applyNumberFormat="1" applyFont="1" applyFill="1" applyBorder="1" applyAlignment="1">
      <alignment horizontal="center"/>
    </xf>
    <xf numFmtId="3" fontId="39" fillId="0" borderId="20" xfId="66" applyNumberFormat="1" applyFont="1" applyFill="1" applyBorder="1" applyAlignment="1">
      <alignment horizontal="center"/>
    </xf>
    <xf numFmtId="3" fontId="35" fillId="0" borderId="20" xfId="66" applyNumberFormat="1" applyFont="1" applyFill="1" applyBorder="1" applyAlignment="1">
      <alignment horizontal="center" wrapText="1"/>
    </xf>
    <xf numFmtId="3" fontId="45" fillId="0" borderId="20" xfId="0" applyNumberFormat="1" applyFont="1" applyBorder="1"/>
    <xf numFmtId="0" fontId="36" fillId="0" borderId="20" xfId="0" applyFont="1" applyBorder="1"/>
    <xf numFmtId="0" fontId="39" fillId="0" borderId="0" xfId="0" applyFont="1" applyAlignment="1">
      <alignment horizontal="center"/>
    </xf>
    <xf numFmtId="0" fontId="46" fillId="0" borderId="0" xfId="0" applyFont="1" applyAlignment="1">
      <alignment horizontal="center" vertical="center"/>
    </xf>
    <xf numFmtId="3" fontId="34" fillId="0" borderId="20" xfId="0" applyNumberFormat="1" applyFont="1" applyBorder="1" applyAlignment="1">
      <alignment horizontal="center"/>
    </xf>
    <xf numFmtId="49" fontId="29" fillId="0" borderId="1" xfId="0" applyNumberFormat="1" applyFont="1" applyBorder="1" applyAlignment="1">
      <alignment vertical="center" wrapText="1"/>
    </xf>
    <xf numFmtId="43" fontId="26" fillId="38" borderId="16" xfId="66" applyFont="1" applyFill="1" applyBorder="1" applyAlignment="1">
      <alignment horizontal="center" vertical="center" wrapText="1"/>
    </xf>
    <xf numFmtId="0" fontId="2" fillId="38" borderId="1" xfId="0" applyFont="1" applyFill="1" applyBorder="1" applyAlignment="1">
      <alignment horizontal="center" vertical="center" wrapText="1"/>
    </xf>
    <xf numFmtId="0" fontId="2" fillId="33" borderId="16" xfId="0" applyFont="1" applyFill="1" applyBorder="1" applyAlignment="1">
      <alignment horizontal="left" vertical="top" wrapText="1"/>
    </xf>
    <xf numFmtId="0" fontId="2" fillId="39" borderId="1" xfId="0" applyFont="1" applyFill="1" applyBorder="1" applyAlignment="1">
      <alignment horizontal="center" vertical="center" wrapText="1"/>
    </xf>
    <xf numFmtId="0" fontId="2" fillId="39" borderId="1" xfId="0" applyFont="1" applyFill="1" applyBorder="1" applyAlignment="1">
      <alignment horizontal="left" vertical="center" wrapText="1"/>
    </xf>
    <xf numFmtId="49" fontId="2" fillId="39" borderId="1" xfId="0" applyNumberFormat="1" applyFont="1" applyFill="1" applyBorder="1" applyAlignment="1">
      <alignment horizontal="center" vertical="center" wrapText="1"/>
    </xf>
    <xf numFmtId="0" fontId="2" fillId="39" borderId="1" xfId="0" applyFont="1" applyFill="1" applyBorder="1" applyAlignment="1">
      <alignment vertical="center" wrapText="1"/>
    </xf>
    <xf numFmtId="0" fontId="1" fillId="39" borderId="1" xfId="0" applyFont="1" applyFill="1" applyBorder="1" applyAlignment="1">
      <alignment horizontal="center" vertical="center" wrapText="1"/>
    </xf>
    <xf numFmtId="0" fontId="2" fillId="0" borderId="15" xfId="0" applyFont="1" applyBorder="1" applyAlignment="1">
      <alignment horizontal="center" vertical="center" wrapText="1"/>
    </xf>
    <xf numFmtId="49" fontId="2" fillId="0" borderId="1" xfId="0" applyNumberFormat="1" applyFont="1" applyBorder="1" applyAlignment="1">
      <alignment wrapText="1"/>
    </xf>
    <xf numFmtId="0" fontId="0" fillId="0" borderId="1" xfId="0" applyBorder="1"/>
    <xf numFmtId="49" fontId="2" fillId="38" borderId="1" xfId="0" applyNumberFormat="1" applyFont="1" applyFill="1" applyBorder="1" applyAlignment="1">
      <alignment horizontal="center" vertical="center" wrapText="1"/>
    </xf>
    <xf numFmtId="0" fontId="47" fillId="0" borderId="0" xfId="0" applyFont="1" applyAlignment="1">
      <alignment vertical="center" wrapText="1"/>
    </xf>
    <xf numFmtId="0" fontId="2" fillId="33" borderId="1" xfId="0" applyFont="1" applyFill="1" applyBorder="1" applyAlignment="1">
      <alignment wrapText="1"/>
    </xf>
    <xf numFmtId="43" fontId="2" fillId="38" borderId="0" xfId="66" applyFont="1" applyFill="1" applyBorder="1" applyAlignment="1">
      <alignment horizontal="center" vertical="center" wrapText="1"/>
    </xf>
    <xf numFmtId="0" fontId="27" fillId="33" borderId="16" xfId="0" applyFont="1" applyFill="1" applyBorder="1" applyAlignment="1">
      <alignment horizontal="left" vertical="top" wrapText="1"/>
    </xf>
    <xf numFmtId="43" fontId="2" fillId="38" borderId="1" xfId="66" applyFont="1" applyFill="1" applyBorder="1" applyAlignment="1">
      <alignment horizontal="center" vertical="center"/>
    </xf>
    <xf numFmtId="0" fontId="2" fillId="0" borderId="1" xfId="0" applyFont="1" applyBorder="1" applyAlignment="1">
      <alignment horizontal="center" wrapText="1"/>
    </xf>
    <xf numFmtId="0" fontId="41" fillId="0" borderId="0" xfId="0" applyFont="1"/>
    <xf numFmtId="3" fontId="26" fillId="38" borderId="1" xfId="0" applyNumberFormat="1" applyFont="1" applyFill="1" applyBorder="1" applyAlignment="1">
      <alignment horizontal="center" vertical="center" wrapText="1"/>
    </xf>
    <xf numFmtId="3" fontId="11" fillId="4" borderId="16" xfId="8" applyNumberFormat="1" applyBorder="1" applyAlignment="1">
      <alignment vertical="top" wrapText="1"/>
    </xf>
    <xf numFmtId="43" fontId="19" fillId="29" borderId="3" xfId="38" applyNumberFormat="1" applyBorder="1" applyAlignment="1">
      <alignment horizontal="center" vertical="center" wrapText="1"/>
    </xf>
    <xf numFmtId="43" fontId="19" fillId="29" borderId="1" xfId="38" applyNumberFormat="1" applyBorder="1" applyAlignment="1">
      <alignment horizontal="center" vertical="center" wrapText="1"/>
    </xf>
    <xf numFmtId="49" fontId="24" fillId="0" borderId="1" xfId="67" applyNumberFormat="1" applyBorder="1" applyAlignment="1">
      <alignment horizontal="center" vertical="center" wrapText="1"/>
    </xf>
    <xf numFmtId="0" fontId="28" fillId="0" borderId="16" xfId="67" applyFont="1" applyBorder="1" applyAlignment="1">
      <alignment horizontal="center" vertical="center"/>
    </xf>
    <xf numFmtId="43" fontId="2" fillId="0" borderId="1" xfId="66" applyFont="1" applyFill="1" applyBorder="1" applyAlignment="1">
      <alignment horizontal="center" vertical="center" wrapText="1"/>
    </xf>
    <xf numFmtId="43" fontId="2" fillId="0" borderId="2" xfId="66" applyFont="1" applyFill="1" applyBorder="1" applyAlignment="1">
      <alignment horizontal="center" vertical="center" wrapText="1"/>
    </xf>
    <xf numFmtId="43" fontId="2" fillId="0" borderId="0" xfId="66" applyFont="1" applyFill="1" applyBorder="1" applyAlignment="1">
      <alignment horizontal="center" vertical="center" wrapText="1"/>
    </xf>
    <xf numFmtId="43" fontId="2" fillId="0" borderId="18" xfId="66" applyFont="1" applyFill="1" applyBorder="1" applyAlignment="1">
      <alignment horizontal="center" vertical="center" wrapText="1"/>
    </xf>
    <xf numFmtId="0" fontId="28" fillId="0" borderId="16" xfId="67" applyFont="1" applyBorder="1" applyAlignment="1">
      <alignment horizontal="center" vertical="center" wrapText="1"/>
    </xf>
    <xf numFmtId="0" fontId="0" fillId="0" borderId="16" xfId="0" applyBorder="1" applyAlignment="1">
      <alignment vertical="top"/>
    </xf>
    <xf numFmtId="0" fontId="48" fillId="0" borderId="16" xfId="0" applyFont="1" applyBorder="1" applyAlignment="1">
      <alignment vertical="top" wrapText="1"/>
    </xf>
    <xf numFmtId="43" fontId="2" fillId="0" borderId="14" xfId="66" applyFont="1" applyFill="1" applyBorder="1" applyAlignment="1">
      <alignment horizontal="center" vertical="center" wrapText="1"/>
    </xf>
    <xf numFmtId="3" fontId="2" fillId="0" borderId="0" xfId="0" applyNumberFormat="1" applyFont="1" applyAlignment="1">
      <alignment horizontal="center" vertical="center" wrapText="1"/>
    </xf>
    <xf numFmtId="0" fontId="33" fillId="0" borderId="0" xfId="0" applyFont="1" applyAlignment="1">
      <alignment horizontal="left" wrapText="1"/>
    </xf>
    <xf numFmtId="0" fontId="34" fillId="0" borderId="0" xfId="0" applyFont="1" applyAlignment="1">
      <alignment horizontal="left" wrapText="1"/>
    </xf>
    <xf numFmtId="0" fontId="37" fillId="0" borderId="0" xfId="0" applyFont="1"/>
    <xf numFmtId="0" fontId="37" fillId="0" borderId="0" xfId="0" applyFont="1" applyAlignment="1">
      <alignment horizontal="left" wrapText="1"/>
    </xf>
    <xf numFmtId="0" fontId="41" fillId="0" borderId="0" xfId="0" applyFont="1" applyAlignment="1">
      <alignment horizontal="left" wrapText="1"/>
    </xf>
    <xf numFmtId="0" fontId="33" fillId="0" borderId="0" xfId="0" applyFont="1" applyAlignment="1">
      <alignment horizontal="left"/>
    </xf>
    <xf numFmtId="3" fontId="33" fillId="0" borderId="0" xfId="0" applyNumberFormat="1" applyFont="1" applyAlignment="1">
      <alignment horizontal="left" wrapText="1"/>
    </xf>
    <xf numFmtId="0" fontId="33" fillId="0" borderId="0" xfId="0" applyFont="1" applyAlignment="1">
      <alignment wrapText="1"/>
    </xf>
    <xf numFmtId="0" fontId="41" fillId="0" borderId="0" xfId="0" applyFont="1" applyAlignment="1">
      <alignment wrapText="1"/>
    </xf>
    <xf numFmtId="0" fontId="37" fillId="0" borderId="0" xfId="0" quotePrefix="1" applyFont="1"/>
    <xf numFmtId="3" fontId="2" fillId="0" borderId="1" xfId="0" applyNumberFormat="1" applyFont="1" applyBorder="1" applyAlignment="1">
      <alignment horizontal="center" vertical="center" wrapText="1"/>
    </xf>
    <xf numFmtId="3" fontId="2" fillId="33" borderId="1" xfId="0" applyNumberFormat="1" applyFont="1" applyFill="1" applyBorder="1" applyAlignment="1">
      <alignment horizontal="center" vertical="center" wrapText="1"/>
    </xf>
  </cellXfs>
  <cellStyles count="7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66" builtinId="3"/>
    <cellStyle name="Comma 2" xfId="50" xr:uid="{00000000-0005-0000-0000-00001C000000}"/>
    <cellStyle name="Comma 2 2" xfId="63" xr:uid="{00000000-0005-0000-0000-00001D000000}"/>
    <cellStyle name="Comma 3" xfId="49" xr:uid="{00000000-0005-0000-0000-00001E000000}"/>
    <cellStyle name="Comma 3 2" xfId="52" xr:uid="{00000000-0005-0000-0000-00001F000000}"/>
    <cellStyle name="Comma 4" xfId="53" xr:uid="{00000000-0005-0000-0000-000020000000}"/>
    <cellStyle name="Comma 4 2" xfId="55" xr:uid="{00000000-0005-0000-0000-000021000000}"/>
    <cellStyle name="Comma 4 3" xfId="70" xr:uid="{5E37E0A7-9794-4CC0-92C7-17F229ECF977}"/>
    <cellStyle name="Comma 5" xfId="59" xr:uid="{00000000-0005-0000-0000-000022000000}"/>
    <cellStyle name="Comma 5 2" xfId="69" xr:uid="{B827FF6D-565F-43EF-BA15-10F873930D9B}"/>
    <cellStyle name="Currency" xfId="62" xr:uid="{00000000-0005-0000-0000-000023000000}"/>
    <cellStyle name="Currency 2" xfId="61" xr:uid="{00000000-0005-0000-0000-000024000000}"/>
    <cellStyle name="Currency 3" xfId="64" xr:uid="{00000000-0005-0000-0000-000025000000}"/>
    <cellStyle name="Currency 4" xfId="71" xr:uid="{DAF652FF-22D7-4CF8-A2C1-D2FEC57642AE}"/>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67" builtinId="8"/>
    <cellStyle name="Hyperlink 2" xfId="58" xr:uid="{00000000-0005-0000-0000-00002C000000}"/>
    <cellStyle name="Hyperlink 2 2" xfId="65" xr:uid="{00000000-0005-0000-0000-00002D000000}"/>
    <cellStyle name="Hyperlink 3" xfId="57" xr:uid="{00000000-0005-0000-0000-00002E000000}"/>
    <cellStyle name="Input" xfId="9" builtinId="20" customBuiltin="1"/>
    <cellStyle name="Linked Cell" xfId="12" builtinId="24" customBuiltin="1"/>
    <cellStyle name="Neutral" xfId="8" builtinId="28" customBuiltin="1"/>
    <cellStyle name="Normal" xfId="0" builtinId="0"/>
    <cellStyle name="Normal 2" xfId="43" xr:uid="{00000000-0005-0000-0000-000033000000}"/>
    <cellStyle name="Normal 2 2" xfId="46" xr:uid="{00000000-0005-0000-0000-000034000000}"/>
    <cellStyle name="Normal 3" xfId="44" xr:uid="{00000000-0005-0000-0000-000035000000}"/>
    <cellStyle name="Normal 3 2" xfId="47" xr:uid="{00000000-0005-0000-0000-000036000000}"/>
    <cellStyle name="Normal 4" xfId="45" xr:uid="{00000000-0005-0000-0000-000037000000}"/>
    <cellStyle name="Normal 4 2" xfId="72" xr:uid="{783E467A-30D4-4F26-9FD6-27415FE43998}"/>
    <cellStyle name="Normal 5" xfId="42" xr:uid="{00000000-0005-0000-0000-000038000000}"/>
    <cellStyle name="Normal 5 2" xfId="68" xr:uid="{98317743-5D03-4C86-ADE1-E81F348B5CE6}"/>
    <cellStyle name="Normal 6" xfId="48" xr:uid="{00000000-0005-0000-0000-000039000000}"/>
    <cellStyle name="Normal 6 2" xfId="51" xr:uid="{00000000-0005-0000-0000-00003A000000}"/>
    <cellStyle name="Normal 7" xfId="54" xr:uid="{00000000-0005-0000-0000-00003B000000}"/>
    <cellStyle name="Normal 7 2" xfId="56" xr:uid="{00000000-0005-0000-0000-00003C000000}"/>
    <cellStyle name="Normal 8" xfId="60" xr:uid="{00000000-0005-0000-0000-00003D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strike val="0"/>
      </font>
      <fill>
        <patternFill patternType="none">
          <bgColor auto="1"/>
        </patternFill>
      </fill>
    </dxf>
  </dxfs>
  <tableStyles count="1" defaultTableStyle="TableStyleMedium2" defaultPivotStyle="PivotStyleLight16">
    <tableStyle name="Table Style 1" pivot="0" count="1" xr9:uid="{00000000-0011-0000-FFFF-FFFF00000000}">
      <tableStyleElement type="wholeTable" dxfId="0"/>
    </tableStyle>
  </tableStyles>
  <colors>
    <mruColors>
      <color rgb="FFCCFFCC"/>
      <color rgb="FFFAB67E"/>
      <color rgb="FF66FFFF"/>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5"/>
  <sheetViews>
    <sheetView tabSelected="1" zoomScale="124" zoomScaleNormal="124" workbookViewId="0">
      <pane ySplit="2" topLeftCell="A3" activePane="bottomLeft" state="frozen"/>
      <selection pane="bottomLeft" activeCell="I5" sqref="I5"/>
    </sheetView>
  </sheetViews>
  <sheetFormatPr defaultColWidth="8.81640625" defaultRowHeight="14.5" x14ac:dyDescent="0.35"/>
  <cols>
    <col min="1" max="1" width="16.54296875" style="4" bestFit="1" customWidth="1"/>
    <col min="2" max="2" width="27.1796875" style="2" bestFit="1" customWidth="1"/>
    <col min="3" max="3" width="9.26953125" style="4" bestFit="1" customWidth="1"/>
    <col min="4" max="4" width="11.54296875" style="1" hidden="1" customWidth="1"/>
    <col min="5" max="5" width="47.7265625" style="35" hidden="1" customWidth="1"/>
    <col min="6" max="6" width="19.1796875" style="78" customWidth="1"/>
    <col min="7" max="7" width="19.81640625" style="78" customWidth="1"/>
    <col min="8" max="8" width="20.453125" style="1" customWidth="1"/>
    <col min="9" max="9" width="16.1796875" style="1" customWidth="1"/>
    <col min="10" max="10" width="23" customWidth="1"/>
    <col min="11" max="11" width="23.1796875" style="1" customWidth="1"/>
    <col min="12" max="16384" width="8.81640625" style="1"/>
  </cols>
  <sheetData>
    <row r="1" spans="1:13" ht="11.5" x14ac:dyDescent="0.25">
      <c r="A1" s="62" t="s">
        <v>180</v>
      </c>
      <c r="B1" s="63" t="s">
        <v>181</v>
      </c>
      <c r="D1" s="22"/>
      <c r="E1" s="1"/>
      <c r="F1" s="4"/>
      <c r="G1" s="4"/>
      <c r="H1" s="3"/>
      <c r="I1" s="3"/>
      <c r="J1" s="4"/>
    </row>
    <row r="2" spans="1:13" s="6" customFormat="1" ht="23" x14ac:dyDescent="0.35">
      <c r="A2" s="23" t="s">
        <v>39</v>
      </c>
      <c r="B2" s="23" t="s">
        <v>43</v>
      </c>
      <c r="C2" s="23" t="s">
        <v>40</v>
      </c>
      <c r="D2" s="23" t="s">
        <v>42</v>
      </c>
      <c r="E2" s="29" t="s">
        <v>41</v>
      </c>
      <c r="F2" s="70" t="s">
        <v>276</v>
      </c>
      <c r="G2" s="70" t="s">
        <v>277</v>
      </c>
      <c r="H2" s="24" t="s">
        <v>315</v>
      </c>
      <c r="I2" s="12" t="s">
        <v>90</v>
      </c>
      <c r="J2" s="53" t="s">
        <v>117</v>
      </c>
    </row>
    <row r="3" spans="1:13" s="4" customFormat="1" ht="34.5" x14ac:dyDescent="0.35">
      <c r="A3" s="64" t="s">
        <v>106</v>
      </c>
      <c r="B3" s="8" t="s">
        <v>164</v>
      </c>
      <c r="C3" s="11" t="s">
        <v>165</v>
      </c>
      <c r="D3" s="11" t="s">
        <v>149</v>
      </c>
      <c r="E3" s="30" t="s">
        <v>290</v>
      </c>
      <c r="F3" s="71"/>
      <c r="G3" s="71"/>
      <c r="H3" s="185">
        <v>0</v>
      </c>
      <c r="I3" s="11"/>
      <c r="J3" s="45" t="s">
        <v>292</v>
      </c>
    </row>
    <row r="4" spans="1:13" s="4" customFormat="1" ht="34.5" x14ac:dyDescent="0.35">
      <c r="A4" s="67" t="s">
        <v>77</v>
      </c>
      <c r="B4" s="26" t="s">
        <v>130</v>
      </c>
      <c r="C4" s="25" t="s">
        <v>78</v>
      </c>
      <c r="D4" s="11" t="s">
        <v>149</v>
      </c>
      <c r="E4" s="43" t="s">
        <v>138</v>
      </c>
      <c r="F4" s="162">
        <v>475.08</v>
      </c>
      <c r="G4" s="72">
        <v>2778.33</v>
      </c>
      <c r="H4" s="185">
        <v>3000</v>
      </c>
      <c r="I4" s="149"/>
      <c r="J4" s="54"/>
    </row>
    <row r="5" spans="1:13" ht="67.400000000000006" customHeight="1" x14ac:dyDescent="0.25">
      <c r="A5" s="66" t="s">
        <v>44</v>
      </c>
      <c r="B5" s="8" t="s">
        <v>84</v>
      </c>
      <c r="C5" s="11" t="s">
        <v>166</v>
      </c>
      <c r="D5" s="11" t="s">
        <v>149</v>
      </c>
      <c r="E5" s="164"/>
      <c r="F5" s="71"/>
      <c r="G5" s="71"/>
      <c r="H5" s="185">
        <v>20000</v>
      </c>
      <c r="J5" s="165" t="s">
        <v>308</v>
      </c>
      <c r="M5" s="1" t="s">
        <v>313</v>
      </c>
    </row>
    <row r="6" spans="1:13" ht="44.9" customHeight="1" x14ac:dyDescent="0.25">
      <c r="A6" s="68" t="s">
        <v>46</v>
      </c>
      <c r="B6" s="18" t="s">
        <v>183</v>
      </c>
      <c r="C6" s="11" t="s">
        <v>112</v>
      </c>
      <c r="D6" s="11" t="s">
        <v>149</v>
      </c>
      <c r="E6" s="31" t="s">
        <v>139</v>
      </c>
      <c r="F6" s="73">
        <v>0</v>
      </c>
      <c r="G6" s="73">
        <v>5858.33</v>
      </c>
      <c r="H6" s="185">
        <v>5800</v>
      </c>
      <c r="I6" s="40"/>
      <c r="J6" s="54"/>
      <c r="M6" s="1" t="s">
        <v>314</v>
      </c>
    </row>
    <row r="7" spans="1:13" ht="47.15" customHeight="1" x14ac:dyDescent="0.25">
      <c r="A7" s="66" t="s">
        <v>45</v>
      </c>
      <c r="B7" s="8" t="s">
        <v>0</v>
      </c>
      <c r="C7" s="4" t="s">
        <v>111</v>
      </c>
      <c r="D7" s="11" t="s">
        <v>149</v>
      </c>
      <c r="E7" s="43" t="s">
        <v>131</v>
      </c>
      <c r="F7" s="72">
        <v>0</v>
      </c>
      <c r="G7" s="72">
        <v>34687.29</v>
      </c>
      <c r="H7" s="185">
        <v>34500</v>
      </c>
      <c r="I7" s="9"/>
      <c r="J7" s="54"/>
    </row>
    <row r="8" spans="1:13" ht="100.4" customHeight="1" x14ac:dyDescent="0.35">
      <c r="A8" s="66" t="s">
        <v>47</v>
      </c>
      <c r="B8" s="8" t="s">
        <v>1</v>
      </c>
      <c r="C8" s="11" t="s">
        <v>12</v>
      </c>
      <c r="D8" s="11" t="s">
        <v>149</v>
      </c>
      <c r="E8" s="33" t="s">
        <v>132</v>
      </c>
      <c r="F8" s="163">
        <v>11001.91</v>
      </c>
      <c r="G8" s="71">
        <v>82312.75</v>
      </c>
      <c r="H8" s="185">
        <v>83000</v>
      </c>
      <c r="I8" s="9"/>
      <c r="J8" s="55"/>
    </row>
    <row r="9" spans="1:13" ht="50.9" customHeight="1" x14ac:dyDescent="0.25">
      <c r="A9" s="66" t="s">
        <v>48</v>
      </c>
      <c r="B9" s="8" t="s">
        <v>2</v>
      </c>
      <c r="C9" s="11" t="s">
        <v>13</v>
      </c>
      <c r="D9" s="12" t="s">
        <v>133</v>
      </c>
      <c r="E9" s="32" t="s">
        <v>135</v>
      </c>
      <c r="F9" s="163">
        <v>221</v>
      </c>
      <c r="G9" s="71">
        <v>10170.91</v>
      </c>
      <c r="H9" s="185">
        <v>10000</v>
      </c>
      <c r="I9" s="11"/>
      <c r="J9" s="54" t="s">
        <v>122</v>
      </c>
    </row>
    <row r="10" spans="1:13" ht="59.9" customHeight="1" x14ac:dyDescent="0.35">
      <c r="A10" s="66" t="s">
        <v>66</v>
      </c>
      <c r="B10" s="8" t="s">
        <v>36</v>
      </c>
      <c r="C10" s="11" t="s">
        <v>26</v>
      </c>
      <c r="D10" s="12" t="s">
        <v>133</v>
      </c>
      <c r="E10" s="32" t="s">
        <v>134</v>
      </c>
      <c r="F10" s="163">
        <v>307.92</v>
      </c>
      <c r="G10" s="71">
        <v>4410.96</v>
      </c>
      <c r="H10" s="185">
        <v>4000</v>
      </c>
      <c r="I10" s="11"/>
      <c r="J10" s="55"/>
    </row>
    <row r="11" spans="1:13" ht="75.650000000000006" customHeight="1" x14ac:dyDescent="0.35">
      <c r="A11" s="66" t="s">
        <v>87</v>
      </c>
      <c r="B11" s="8" t="s">
        <v>88</v>
      </c>
      <c r="C11" s="11" t="s">
        <v>89</v>
      </c>
      <c r="D11" s="12" t="s">
        <v>133</v>
      </c>
      <c r="E11" s="32" t="s">
        <v>136</v>
      </c>
      <c r="F11" s="163">
        <v>612.63</v>
      </c>
      <c r="G11" s="71">
        <v>8513.27</v>
      </c>
      <c r="H11" s="185">
        <v>9000</v>
      </c>
      <c r="I11" s="11"/>
      <c r="J11" s="55"/>
    </row>
    <row r="12" spans="1:13" ht="82.5" customHeight="1" x14ac:dyDescent="0.25">
      <c r="A12" s="64" t="s">
        <v>103</v>
      </c>
      <c r="B12" s="8" t="s">
        <v>115</v>
      </c>
      <c r="C12" s="11" t="s">
        <v>167</v>
      </c>
      <c r="D12" s="11" t="s">
        <v>149</v>
      </c>
      <c r="E12" s="32" t="s">
        <v>288</v>
      </c>
      <c r="F12" s="71"/>
      <c r="G12" s="71"/>
      <c r="H12" s="185">
        <v>1500</v>
      </c>
      <c r="I12" s="11"/>
      <c r="J12" s="58" t="s">
        <v>318</v>
      </c>
    </row>
    <row r="13" spans="1:13" ht="79.5" customHeight="1" x14ac:dyDescent="0.25">
      <c r="A13" s="66" t="s">
        <v>70</v>
      </c>
      <c r="B13" s="147" t="s">
        <v>32</v>
      </c>
      <c r="C13" s="144" t="s">
        <v>31</v>
      </c>
      <c r="D13" s="148" t="s">
        <v>140</v>
      </c>
      <c r="E13" s="146" t="s">
        <v>74</v>
      </c>
      <c r="F13" s="163">
        <v>0</v>
      </c>
      <c r="G13" s="142">
        <v>9830.7000000000007</v>
      </c>
      <c r="H13" s="185">
        <v>10042.19</v>
      </c>
      <c r="I13" s="145" t="s">
        <v>75</v>
      </c>
      <c r="J13" s="144" t="s">
        <v>278</v>
      </c>
    </row>
    <row r="14" spans="1:13" s="22" customFormat="1" ht="72.650000000000006" customHeight="1" x14ac:dyDescent="0.25">
      <c r="A14" s="65" t="s">
        <v>110</v>
      </c>
      <c r="B14" s="20" t="s">
        <v>148</v>
      </c>
      <c r="C14" s="19" t="s">
        <v>168</v>
      </c>
      <c r="D14" s="11" t="s">
        <v>149</v>
      </c>
      <c r="E14" s="34"/>
      <c r="F14" s="74"/>
      <c r="G14" s="74"/>
      <c r="H14" s="185">
        <v>0</v>
      </c>
      <c r="I14" s="19"/>
    </row>
    <row r="15" spans="1:13" ht="88.4" customHeight="1" x14ac:dyDescent="0.25">
      <c r="A15" s="66" t="s">
        <v>49</v>
      </c>
      <c r="B15" s="8" t="s">
        <v>35</v>
      </c>
      <c r="C15" s="11" t="s">
        <v>176</v>
      </c>
      <c r="D15" s="11" t="s">
        <v>149</v>
      </c>
      <c r="E15" s="33" t="s">
        <v>96</v>
      </c>
      <c r="F15" s="71">
        <v>0</v>
      </c>
      <c r="G15" s="71"/>
      <c r="H15" s="185">
        <v>1775</v>
      </c>
      <c r="I15" s="9"/>
      <c r="J15" s="56" t="s">
        <v>316</v>
      </c>
    </row>
    <row r="16" spans="1:13" ht="57.65" customHeight="1" x14ac:dyDescent="0.25">
      <c r="A16" s="66" t="s">
        <v>50</v>
      </c>
      <c r="B16" s="8" t="s">
        <v>76</v>
      </c>
      <c r="C16" s="11" t="s">
        <v>14</v>
      </c>
      <c r="D16" s="11" t="s">
        <v>149</v>
      </c>
      <c r="E16" s="33"/>
      <c r="F16" s="163">
        <v>0</v>
      </c>
      <c r="G16" s="71">
        <v>45000</v>
      </c>
      <c r="H16" s="185">
        <v>42500</v>
      </c>
      <c r="I16" s="9"/>
      <c r="J16" s="161" t="s">
        <v>303</v>
      </c>
    </row>
    <row r="17" spans="1:11" ht="57" customHeight="1" x14ac:dyDescent="0.25">
      <c r="A17" s="64" t="s">
        <v>51</v>
      </c>
      <c r="B17" s="8" t="s">
        <v>3</v>
      </c>
      <c r="C17" s="11" t="s">
        <v>169</v>
      </c>
      <c r="D17" s="11" t="s">
        <v>149</v>
      </c>
      <c r="E17" s="32" t="s">
        <v>287</v>
      </c>
      <c r="F17" s="71"/>
      <c r="G17" s="71">
        <v>1500</v>
      </c>
      <c r="H17" s="185">
        <v>1500</v>
      </c>
      <c r="I17" s="11"/>
      <c r="J17" s="54" t="s">
        <v>309</v>
      </c>
    </row>
    <row r="18" spans="1:11" ht="57.5" x14ac:dyDescent="0.25">
      <c r="A18" s="66" t="s">
        <v>125</v>
      </c>
      <c r="B18" s="8" t="s">
        <v>126</v>
      </c>
      <c r="C18" s="11" t="s">
        <v>317</v>
      </c>
      <c r="D18" s="11" t="s">
        <v>149</v>
      </c>
      <c r="E18" s="3" t="s">
        <v>289</v>
      </c>
      <c r="F18" s="71">
        <v>0</v>
      </c>
      <c r="G18" s="75">
        <v>5000</v>
      </c>
      <c r="H18" s="185">
        <v>5000</v>
      </c>
      <c r="I18" s="11"/>
      <c r="J18" s="54"/>
    </row>
    <row r="19" spans="1:11" ht="62.15" customHeight="1" x14ac:dyDescent="0.25">
      <c r="A19" s="66" t="s">
        <v>79</v>
      </c>
      <c r="B19" s="8" t="s">
        <v>80</v>
      </c>
      <c r="C19" s="11" t="s">
        <v>73</v>
      </c>
      <c r="D19" s="12" t="s">
        <v>133</v>
      </c>
      <c r="E19" s="33" t="s">
        <v>137</v>
      </c>
      <c r="F19" s="163">
        <v>500.04</v>
      </c>
      <c r="G19" s="71">
        <v>17178.61</v>
      </c>
      <c r="H19" s="185">
        <v>17500</v>
      </c>
      <c r="I19" s="11"/>
      <c r="J19" s="57"/>
    </row>
    <row r="20" spans="1:11" ht="71.900000000000006" customHeight="1" x14ac:dyDescent="0.25">
      <c r="A20" s="66" t="s">
        <v>52</v>
      </c>
      <c r="B20" s="8" t="s">
        <v>4</v>
      </c>
      <c r="C20" s="11" t="s">
        <v>15</v>
      </c>
      <c r="D20" s="11" t="s">
        <v>149</v>
      </c>
      <c r="F20" s="163">
        <v>0</v>
      </c>
      <c r="G20" s="75">
        <v>22604.19</v>
      </c>
      <c r="H20" s="185">
        <v>22604</v>
      </c>
      <c r="I20" s="154"/>
      <c r="J20" s="156" t="s">
        <v>324</v>
      </c>
    </row>
    <row r="21" spans="1:11" ht="71.900000000000006" customHeight="1" x14ac:dyDescent="0.35">
      <c r="A21" s="66" t="s">
        <v>53</v>
      </c>
      <c r="B21" s="8" t="s">
        <v>5</v>
      </c>
      <c r="C21" s="11" t="s">
        <v>16</v>
      </c>
      <c r="D21" s="12" t="s">
        <v>133</v>
      </c>
      <c r="E21" s="33" t="s">
        <v>150</v>
      </c>
      <c r="F21" s="163">
        <v>1991.14</v>
      </c>
      <c r="G21" s="71">
        <v>39913.86</v>
      </c>
      <c r="H21" s="185">
        <v>39000</v>
      </c>
      <c r="I21" s="9"/>
      <c r="J21" s="79"/>
    </row>
    <row r="22" spans="1:11" ht="71.900000000000006" customHeight="1" x14ac:dyDescent="0.25">
      <c r="A22" s="66" t="s">
        <v>127</v>
      </c>
      <c r="B22" s="8" t="s">
        <v>128</v>
      </c>
      <c r="C22" s="11" t="s">
        <v>173</v>
      </c>
      <c r="D22" s="11" t="s">
        <v>149</v>
      </c>
      <c r="E22" s="41" t="s">
        <v>184</v>
      </c>
      <c r="F22" s="163"/>
      <c r="G22" s="76">
        <v>47200</v>
      </c>
      <c r="H22" s="185">
        <v>60000</v>
      </c>
      <c r="I22" s="40"/>
      <c r="J22" s="143" t="s">
        <v>279</v>
      </c>
    </row>
    <row r="23" spans="1:11" ht="34.5" hidden="1" x14ac:dyDescent="0.25">
      <c r="A23" s="64" t="s">
        <v>174</v>
      </c>
      <c r="B23" s="8" t="s">
        <v>147</v>
      </c>
      <c r="C23" s="11" t="s">
        <v>170</v>
      </c>
      <c r="D23" s="11" t="s">
        <v>149</v>
      </c>
      <c r="E23" s="36"/>
      <c r="F23" s="71"/>
      <c r="G23" s="76"/>
      <c r="H23" s="186"/>
      <c r="I23" s="28"/>
      <c r="J23" s="59"/>
    </row>
    <row r="24" spans="1:11" ht="66" customHeight="1" x14ac:dyDescent="0.25">
      <c r="A24" s="65" t="s">
        <v>54</v>
      </c>
      <c r="B24" s="8" t="s">
        <v>108</v>
      </c>
      <c r="C24" s="11" t="s">
        <v>171</v>
      </c>
      <c r="D24" s="11" t="s">
        <v>149</v>
      </c>
      <c r="E24" s="32" t="s">
        <v>291</v>
      </c>
      <c r="F24" s="71"/>
      <c r="G24" s="155"/>
      <c r="H24" s="185">
        <v>2000</v>
      </c>
      <c r="J24" s="80" t="s">
        <v>319</v>
      </c>
    </row>
    <row r="25" spans="1:11" ht="39" customHeight="1" x14ac:dyDescent="0.25">
      <c r="A25" s="66" t="s">
        <v>57</v>
      </c>
      <c r="B25" s="8" t="s">
        <v>33</v>
      </c>
      <c r="C25" s="11" t="s">
        <v>38</v>
      </c>
      <c r="D25" s="11" t="s">
        <v>37</v>
      </c>
      <c r="E25" s="32" t="s">
        <v>263</v>
      </c>
      <c r="F25" s="163">
        <v>3860.28</v>
      </c>
      <c r="G25" s="71">
        <v>13453.23</v>
      </c>
      <c r="H25" s="185">
        <v>15000</v>
      </c>
      <c r="I25" s="11" t="s">
        <v>72</v>
      </c>
      <c r="J25" s="158" t="s">
        <v>280</v>
      </c>
    </row>
    <row r="26" spans="1:11" ht="66" customHeight="1" x14ac:dyDescent="0.25">
      <c r="A26" s="66" t="s">
        <v>268</v>
      </c>
      <c r="B26" s="8" t="s">
        <v>269</v>
      </c>
      <c r="C26" s="11" t="s">
        <v>283</v>
      </c>
      <c r="D26" s="11"/>
      <c r="E26" s="32" t="s">
        <v>270</v>
      </c>
      <c r="F26" s="163">
        <v>1540.25</v>
      </c>
      <c r="G26" s="155">
        <v>47448.800000000003</v>
      </c>
      <c r="H26" s="185">
        <v>47000</v>
      </c>
      <c r="J26" s="80"/>
    </row>
    <row r="27" spans="1:11" ht="47.15" customHeight="1" x14ac:dyDescent="0.25">
      <c r="A27" s="66" t="s">
        <v>71</v>
      </c>
      <c r="B27" s="8" t="s">
        <v>98</v>
      </c>
      <c r="C27" s="11" t="s">
        <v>99</v>
      </c>
      <c r="D27" s="12" t="s">
        <v>140</v>
      </c>
      <c r="E27" s="32" t="s">
        <v>142</v>
      </c>
      <c r="F27" s="163">
        <v>1306.54</v>
      </c>
      <c r="G27" s="71">
        <v>7896.81</v>
      </c>
      <c r="H27" s="185">
        <v>9000</v>
      </c>
      <c r="I27" s="11"/>
      <c r="J27" s="54" t="s">
        <v>262</v>
      </c>
    </row>
    <row r="28" spans="1:11" ht="34.5" x14ac:dyDescent="0.25">
      <c r="A28" s="64" t="s">
        <v>86</v>
      </c>
      <c r="B28" s="8" t="s">
        <v>100</v>
      </c>
      <c r="C28" s="11" t="s">
        <v>165</v>
      </c>
      <c r="D28" s="11" t="s">
        <v>149</v>
      </c>
      <c r="E28" s="30" t="s">
        <v>286</v>
      </c>
      <c r="F28" s="71"/>
      <c r="G28" s="71"/>
      <c r="H28" s="185"/>
      <c r="I28" s="11" t="s">
        <v>85</v>
      </c>
      <c r="J28" s="60" t="s">
        <v>281</v>
      </c>
      <c r="K28" s="1" t="s">
        <v>282</v>
      </c>
    </row>
    <row r="29" spans="1:11" ht="47.15" customHeight="1" x14ac:dyDescent="0.35">
      <c r="A29" s="66" t="s">
        <v>55</v>
      </c>
      <c r="B29" s="8" t="s">
        <v>6</v>
      </c>
      <c r="C29" s="11" t="s">
        <v>17</v>
      </c>
      <c r="D29" s="12" t="s">
        <v>133</v>
      </c>
      <c r="E29" s="32" t="s">
        <v>141</v>
      </c>
      <c r="F29" s="163">
        <v>465.82</v>
      </c>
      <c r="G29" s="71">
        <v>4036.84</v>
      </c>
      <c r="H29" s="185">
        <v>4000</v>
      </c>
      <c r="I29" s="11"/>
      <c r="J29" s="55"/>
    </row>
    <row r="30" spans="1:11" ht="47.15" customHeight="1" x14ac:dyDescent="0.25">
      <c r="A30" s="66" t="s">
        <v>55</v>
      </c>
      <c r="B30" s="8" t="s">
        <v>114</v>
      </c>
      <c r="C30" s="11" t="s">
        <v>121</v>
      </c>
      <c r="D30" s="12" t="s">
        <v>133</v>
      </c>
      <c r="E30" s="32" t="s">
        <v>143</v>
      </c>
      <c r="F30" s="163">
        <v>130.37</v>
      </c>
      <c r="G30" s="71">
        <v>9612.66</v>
      </c>
      <c r="H30" s="185">
        <v>9600</v>
      </c>
      <c r="I30" s="11"/>
      <c r="J30" s="61"/>
    </row>
    <row r="31" spans="1:11" ht="47.15" customHeight="1" x14ac:dyDescent="0.25">
      <c r="A31" s="66" t="s">
        <v>300</v>
      </c>
      <c r="B31" s="8" t="s">
        <v>312</v>
      </c>
      <c r="C31" s="11" t="s">
        <v>306</v>
      </c>
      <c r="D31" s="12" t="s">
        <v>149</v>
      </c>
      <c r="E31" s="32" t="s">
        <v>301</v>
      </c>
      <c r="F31" s="163">
        <v>5750</v>
      </c>
      <c r="G31" s="71"/>
      <c r="H31" s="185">
        <v>5750</v>
      </c>
      <c r="I31" s="11"/>
      <c r="J31" s="61" t="s">
        <v>304</v>
      </c>
    </row>
    <row r="32" spans="1:11" ht="47.15" customHeight="1" x14ac:dyDescent="0.25">
      <c r="A32" s="11" t="s">
        <v>310</v>
      </c>
      <c r="B32" s="8" t="s">
        <v>311</v>
      </c>
      <c r="C32" s="11"/>
      <c r="D32" s="12"/>
      <c r="E32" s="32"/>
      <c r="F32" s="163"/>
      <c r="G32" s="71"/>
      <c r="H32" s="185">
        <v>5000</v>
      </c>
      <c r="I32" s="11"/>
      <c r="J32" s="61"/>
    </row>
    <row r="33" spans="1:10" ht="54" customHeight="1" x14ac:dyDescent="0.25">
      <c r="A33" s="66" t="s">
        <v>64</v>
      </c>
      <c r="B33" s="8" t="s">
        <v>69</v>
      </c>
      <c r="C33" s="11" t="s">
        <v>27</v>
      </c>
      <c r="D33" s="12" t="s">
        <v>133</v>
      </c>
      <c r="E33" s="32" t="s">
        <v>294</v>
      </c>
      <c r="F33" s="163">
        <v>1314.73</v>
      </c>
      <c r="G33" s="71">
        <v>2700.79</v>
      </c>
      <c r="H33" s="185">
        <v>2500</v>
      </c>
      <c r="I33" s="11"/>
      <c r="J33" s="172" t="s">
        <v>321</v>
      </c>
    </row>
    <row r="34" spans="1:10" ht="54" customHeight="1" x14ac:dyDescent="0.25">
      <c r="A34" s="64" t="s">
        <v>119</v>
      </c>
      <c r="B34" s="8" t="s">
        <v>120</v>
      </c>
      <c r="C34" s="11" t="s">
        <v>175</v>
      </c>
      <c r="D34" s="11" t="s">
        <v>149</v>
      </c>
      <c r="E34" s="32" t="s">
        <v>266</v>
      </c>
      <c r="F34" s="71">
        <v>1500</v>
      </c>
      <c r="G34" s="71"/>
      <c r="H34" s="185">
        <v>1500</v>
      </c>
      <c r="I34" s="11"/>
      <c r="J34" s="170" t="s">
        <v>320</v>
      </c>
    </row>
    <row r="35" spans="1:10" ht="54.65" customHeight="1" x14ac:dyDescent="0.25">
      <c r="A35" s="66" t="s">
        <v>56</v>
      </c>
      <c r="B35" s="8" t="s">
        <v>30</v>
      </c>
      <c r="C35" s="11" t="s">
        <v>18</v>
      </c>
      <c r="D35" s="12" t="s">
        <v>133</v>
      </c>
      <c r="E35" s="32" t="s">
        <v>144</v>
      </c>
      <c r="F35" s="163">
        <v>70.8</v>
      </c>
      <c r="G35" s="71">
        <v>3771.49</v>
      </c>
      <c r="H35" s="185">
        <v>3800</v>
      </c>
      <c r="I35" s="9"/>
      <c r="J35" s="171"/>
    </row>
    <row r="36" spans="1:10" ht="45.65" customHeight="1" x14ac:dyDescent="0.35">
      <c r="A36" s="66" t="s">
        <v>58</v>
      </c>
      <c r="B36" s="8" t="s">
        <v>7</v>
      </c>
      <c r="C36" s="11" t="s">
        <v>19</v>
      </c>
      <c r="D36" s="12" t="s">
        <v>133</v>
      </c>
      <c r="E36" s="32" t="s">
        <v>146</v>
      </c>
      <c r="F36" s="163">
        <v>459.41</v>
      </c>
      <c r="G36" s="71">
        <v>4936.71</v>
      </c>
      <c r="H36" s="185">
        <v>5000</v>
      </c>
      <c r="I36" s="9"/>
      <c r="J36" s="55"/>
    </row>
    <row r="37" spans="1:10" ht="43.4" customHeight="1" x14ac:dyDescent="0.35">
      <c r="A37" s="66" t="s">
        <v>63</v>
      </c>
      <c r="B37" s="8" t="s">
        <v>34</v>
      </c>
      <c r="C37" s="11" t="s">
        <v>24</v>
      </c>
      <c r="D37" s="12" t="s">
        <v>133</v>
      </c>
      <c r="E37" s="32" t="s">
        <v>145</v>
      </c>
      <c r="F37" s="163">
        <v>200.32</v>
      </c>
      <c r="G37" s="71">
        <v>2535.4899999999998</v>
      </c>
      <c r="H37" s="185">
        <v>2735</v>
      </c>
      <c r="I37" s="9"/>
      <c r="J37" s="55"/>
    </row>
    <row r="38" spans="1:10" ht="69" x14ac:dyDescent="0.25">
      <c r="A38" s="66" t="s">
        <v>65</v>
      </c>
      <c r="B38" s="8" t="s">
        <v>29</v>
      </c>
      <c r="C38" s="11" t="s">
        <v>25</v>
      </c>
      <c r="D38" s="5"/>
      <c r="E38" s="33" t="s">
        <v>118</v>
      </c>
      <c r="F38" s="163">
        <v>9612.2199999999993</v>
      </c>
      <c r="G38" s="71">
        <v>22534.85</v>
      </c>
      <c r="H38" s="185">
        <v>22000</v>
      </c>
      <c r="I38" s="11" t="s">
        <v>94</v>
      </c>
      <c r="J38" s="11" t="s">
        <v>273</v>
      </c>
    </row>
    <row r="39" spans="1:10" s="4" customFormat="1" ht="56.5" customHeight="1" x14ac:dyDescent="0.35">
      <c r="A39" s="11" t="s">
        <v>155</v>
      </c>
      <c r="B39" s="8" t="s">
        <v>156</v>
      </c>
      <c r="C39" s="11"/>
      <c r="D39" s="11" t="s">
        <v>157</v>
      </c>
      <c r="E39" s="30"/>
      <c r="F39" s="152"/>
      <c r="G39" s="152"/>
      <c r="H39" s="185"/>
      <c r="I39" s="11"/>
      <c r="J39" s="11" t="s">
        <v>267</v>
      </c>
    </row>
    <row r="40" spans="1:10" s="42" customFormat="1" ht="69" x14ac:dyDescent="0.25">
      <c r="A40" s="69" t="s">
        <v>260</v>
      </c>
      <c r="B40" s="20" t="s">
        <v>261</v>
      </c>
      <c r="C40" s="19" t="s">
        <v>305</v>
      </c>
      <c r="D40" s="44" t="s">
        <v>133</v>
      </c>
      <c r="E40" s="140" t="s">
        <v>293</v>
      </c>
      <c r="F40" s="141">
        <v>0</v>
      </c>
      <c r="G40" s="141">
        <v>3413.22</v>
      </c>
      <c r="H40" s="185">
        <v>3500</v>
      </c>
      <c r="I40" s="21"/>
      <c r="J40" s="45"/>
    </row>
    <row r="41" spans="1:10" ht="76.400000000000006" customHeight="1" x14ac:dyDescent="0.25">
      <c r="A41" s="64" t="s">
        <v>97</v>
      </c>
      <c r="B41" s="8" t="s">
        <v>116</v>
      </c>
      <c r="C41" s="11" t="s">
        <v>172</v>
      </c>
      <c r="D41" s="11" t="s">
        <v>149</v>
      </c>
      <c r="E41" s="32" t="s">
        <v>285</v>
      </c>
      <c r="F41" s="71">
        <v>250</v>
      </c>
      <c r="G41" s="71"/>
      <c r="H41" s="185">
        <v>16500</v>
      </c>
      <c r="I41" s="9"/>
      <c r="J41" s="45" t="s">
        <v>323</v>
      </c>
    </row>
    <row r="42" spans="1:10" ht="94.4" customHeight="1" x14ac:dyDescent="0.25">
      <c r="A42" s="64" t="s">
        <v>59</v>
      </c>
      <c r="B42" s="8" t="s">
        <v>107</v>
      </c>
      <c r="C42" s="11" t="s">
        <v>284</v>
      </c>
      <c r="D42" s="11" t="s">
        <v>149</v>
      </c>
      <c r="E42" s="32"/>
      <c r="F42" s="71"/>
      <c r="G42" s="160"/>
      <c r="H42" s="185">
        <v>0</v>
      </c>
      <c r="I42" s="5"/>
      <c r="J42" s="54"/>
    </row>
    <row r="43" spans="1:10" ht="94.4" customHeight="1" x14ac:dyDescent="0.25">
      <c r="A43" s="64" t="s">
        <v>274</v>
      </c>
      <c r="B43" s="8" t="s">
        <v>275</v>
      </c>
      <c r="C43" s="11" t="s">
        <v>176</v>
      </c>
      <c r="D43" s="11"/>
      <c r="E43" s="32" t="s">
        <v>285</v>
      </c>
      <c r="F43" s="71"/>
      <c r="G43" s="71"/>
      <c r="H43" s="185">
        <v>0</v>
      </c>
      <c r="I43" s="5"/>
      <c r="J43" s="153"/>
    </row>
    <row r="44" spans="1:10" ht="54" customHeight="1" x14ac:dyDescent="0.25">
      <c r="A44" s="66" t="s">
        <v>81</v>
      </c>
      <c r="B44" s="8" t="s">
        <v>82</v>
      </c>
      <c r="C44" s="11" t="s">
        <v>83</v>
      </c>
      <c r="D44" s="11" t="s">
        <v>149</v>
      </c>
      <c r="E44" s="37" t="s">
        <v>123</v>
      </c>
      <c r="F44" s="163">
        <v>2650.74</v>
      </c>
      <c r="G44" s="74">
        <v>3075.88</v>
      </c>
      <c r="H44" s="185">
        <v>5000</v>
      </c>
      <c r="I44" s="9"/>
      <c r="J44" s="54" t="s">
        <v>182</v>
      </c>
    </row>
    <row r="45" spans="1:10" ht="48" customHeight="1" x14ac:dyDescent="0.25">
      <c r="A45" s="64" t="s">
        <v>129</v>
      </c>
      <c r="B45" s="8" t="s">
        <v>256</v>
      </c>
      <c r="C45" s="11" t="s">
        <v>176</v>
      </c>
      <c r="D45" s="11" t="s">
        <v>149</v>
      </c>
      <c r="E45" s="37"/>
      <c r="F45" s="74"/>
      <c r="G45" s="74"/>
      <c r="H45" s="185">
        <v>7500</v>
      </c>
      <c r="I45" s="9"/>
      <c r="J45" s="59"/>
    </row>
    <row r="46" spans="1:10" ht="56.9" customHeight="1" x14ac:dyDescent="0.35">
      <c r="A46" s="66" t="s">
        <v>60</v>
      </c>
      <c r="B46" s="8" t="s">
        <v>8</v>
      </c>
      <c r="C46" s="11" t="s">
        <v>20</v>
      </c>
      <c r="D46" s="44" t="s">
        <v>133</v>
      </c>
      <c r="E46" s="33" t="s">
        <v>179</v>
      </c>
      <c r="F46" s="163">
        <v>281.42</v>
      </c>
      <c r="G46" s="71">
        <v>21367.34</v>
      </c>
      <c r="H46" s="185">
        <v>21000</v>
      </c>
      <c r="I46" s="11"/>
      <c r="J46" s="55"/>
    </row>
    <row r="47" spans="1:10" ht="56.9" customHeight="1" x14ac:dyDescent="0.35">
      <c r="A47" s="66" t="s">
        <v>177</v>
      </c>
      <c r="B47" s="8" t="s">
        <v>105</v>
      </c>
      <c r="C47" s="11" t="s">
        <v>104</v>
      </c>
      <c r="D47" s="44" t="s">
        <v>133</v>
      </c>
      <c r="E47" s="33" t="s">
        <v>151</v>
      </c>
      <c r="F47" s="163">
        <v>1.59</v>
      </c>
      <c r="G47" s="71">
        <v>13981.69</v>
      </c>
      <c r="H47" s="185">
        <v>13500</v>
      </c>
      <c r="I47" s="11"/>
      <c r="J47" s="55"/>
    </row>
    <row r="48" spans="1:10" ht="51" customHeight="1" x14ac:dyDescent="0.35">
      <c r="A48" s="66" t="s">
        <v>178</v>
      </c>
      <c r="B48" s="10" t="s">
        <v>9</v>
      </c>
      <c r="C48" s="11" t="s">
        <v>21</v>
      </c>
      <c r="D48" s="44" t="s">
        <v>133</v>
      </c>
      <c r="E48" s="32" t="s">
        <v>152</v>
      </c>
      <c r="F48" s="163">
        <v>357.63</v>
      </c>
      <c r="G48" s="71">
        <v>12432.56</v>
      </c>
      <c r="H48" s="185">
        <v>12500</v>
      </c>
      <c r="I48" s="11" t="s">
        <v>95</v>
      </c>
      <c r="J48" s="55"/>
    </row>
    <row r="49" spans="1:10" ht="67.400000000000006" customHeight="1" x14ac:dyDescent="0.25">
      <c r="A49" s="66" t="s">
        <v>61</v>
      </c>
      <c r="B49" s="8" t="s">
        <v>68</v>
      </c>
      <c r="C49" s="11" t="s">
        <v>22</v>
      </c>
      <c r="D49" s="11" t="s">
        <v>149</v>
      </c>
      <c r="E49" s="32" t="s">
        <v>124</v>
      </c>
      <c r="F49" s="163">
        <v>381.54</v>
      </c>
      <c r="G49" s="71">
        <v>27918.27</v>
      </c>
      <c r="H49" s="185">
        <v>28000</v>
      </c>
      <c r="I49" s="9"/>
      <c r="J49" s="58"/>
    </row>
    <row r="50" spans="1:10" ht="36.65" customHeight="1" x14ac:dyDescent="0.35">
      <c r="A50" s="66" t="s">
        <v>67</v>
      </c>
      <c r="B50" s="8" t="s">
        <v>11</v>
      </c>
      <c r="C50" s="11" t="s">
        <v>28</v>
      </c>
      <c r="D50" s="11" t="s">
        <v>149</v>
      </c>
      <c r="E50" s="38" t="s">
        <v>113</v>
      </c>
      <c r="F50" s="163">
        <v>1638.16</v>
      </c>
      <c r="G50" s="157">
        <v>4657.49</v>
      </c>
      <c r="H50" s="185">
        <v>6000</v>
      </c>
      <c r="I50" s="9"/>
      <c r="J50" s="55"/>
    </row>
    <row r="51" spans="1:10" ht="36.65" customHeight="1" x14ac:dyDescent="0.35">
      <c r="A51" s="69" t="s">
        <v>101</v>
      </c>
      <c r="B51" s="20" t="s">
        <v>109</v>
      </c>
      <c r="C51" s="19" t="s">
        <v>102</v>
      </c>
      <c r="D51" s="44" t="s">
        <v>133</v>
      </c>
      <c r="E51" s="37" t="s">
        <v>153</v>
      </c>
      <c r="F51" s="163">
        <v>378.06</v>
      </c>
      <c r="G51" s="74">
        <v>5825.05</v>
      </c>
      <c r="H51" s="185">
        <v>6000</v>
      </c>
      <c r="I51" s="21"/>
      <c r="J51" s="55"/>
    </row>
    <row r="52" spans="1:10" ht="56.9" customHeight="1" x14ac:dyDescent="0.35">
      <c r="A52" s="66" t="s">
        <v>62</v>
      </c>
      <c r="B52" s="8" t="s">
        <v>10</v>
      </c>
      <c r="C52" s="11" t="s">
        <v>23</v>
      </c>
      <c r="D52" s="44" t="s">
        <v>133</v>
      </c>
      <c r="E52" s="32" t="s">
        <v>154</v>
      </c>
      <c r="F52" s="163">
        <v>3447.66</v>
      </c>
      <c r="G52" s="71">
        <v>3439.23</v>
      </c>
      <c r="H52" s="185">
        <v>6885</v>
      </c>
      <c r="I52" s="9"/>
      <c r="J52" s="55" t="s">
        <v>322</v>
      </c>
    </row>
    <row r="53" spans="1:10" ht="56.9" customHeight="1" x14ac:dyDescent="0.35">
      <c r="A53" s="66" t="s">
        <v>257</v>
      </c>
      <c r="B53" s="8" t="s">
        <v>258</v>
      </c>
      <c r="C53" s="11" t="s">
        <v>307</v>
      </c>
      <c r="D53" s="44" t="s">
        <v>133</v>
      </c>
      <c r="E53" s="32" t="s">
        <v>259</v>
      </c>
      <c r="F53" s="163">
        <v>930.63</v>
      </c>
      <c r="G53" s="71">
        <v>6223.19</v>
      </c>
      <c r="H53" s="185">
        <v>7000</v>
      </c>
      <c r="I53" s="9"/>
      <c r="J53" s="55"/>
    </row>
    <row r="54" spans="1:10" ht="15" thickBot="1" x14ac:dyDescent="0.4">
      <c r="A54" s="46"/>
      <c r="B54" s="47"/>
      <c r="C54" s="46"/>
      <c r="D54" s="48"/>
      <c r="E54" s="49"/>
      <c r="F54" s="77"/>
      <c r="G54" s="169"/>
      <c r="H54" s="50">
        <f>SUM(H3:H53)</f>
        <v>638991.18999999994</v>
      </c>
      <c r="I54" s="48"/>
      <c r="J54" s="51"/>
    </row>
    <row r="55" spans="1:10" x14ac:dyDescent="0.35">
      <c r="G55" s="173"/>
      <c r="H55" s="174"/>
      <c r="J55" s="16"/>
    </row>
    <row r="56" spans="1:10" x14ac:dyDescent="0.35">
      <c r="G56" s="167"/>
      <c r="H56" s="4"/>
    </row>
    <row r="57" spans="1:10" s="14" customFormat="1" ht="51" customHeight="1" x14ac:dyDescent="0.35">
      <c r="A57" s="12" t="s">
        <v>91</v>
      </c>
      <c r="B57" s="13" t="s">
        <v>92</v>
      </c>
      <c r="C57" s="12"/>
      <c r="D57" s="15"/>
      <c r="E57" s="39"/>
      <c r="F57" s="29"/>
      <c r="G57" s="15"/>
      <c r="H57" s="12"/>
      <c r="I57" s="12" t="s">
        <v>93</v>
      </c>
      <c r="J57" s="27"/>
    </row>
    <row r="58" spans="1:10" x14ac:dyDescent="0.35">
      <c r="G58" s="168"/>
    </row>
    <row r="59" spans="1:10" x14ac:dyDescent="0.35">
      <c r="G59" s="168"/>
      <c r="H59" s="17"/>
      <c r="J59" s="16"/>
    </row>
    <row r="60" spans="1:10" ht="15" customHeight="1" x14ac:dyDescent="0.35">
      <c r="B60" s="7"/>
      <c r="G60" s="168"/>
      <c r="H60" s="4"/>
    </row>
    <row r="61" spans="1:10" ht="36.65" customHeight="1" x14ac:dyDescent="0.25">
      <c r="A61" s="11" t="s">
        <v>159</v>
      </c>
      <c r="B61" s="8" t="s">
        <v>161</v>
      </c>
      <c r="C61" s="11" t="s">
        <v>158</v>
      </c>
      <c r="D61" s="11" t="s">
        <v>158</v>
      </c>
      <c r="E61" s="9"/>
      <c r="F61" s="11" t="s">
        <v>265</v>
      </c>
      <c r="G61" s="166">
        <v>99204.02</v>
      </c>
      <c r="H61" s="30"/>
      <c r="I61" s="9"/>
      <c r="J61" s="52" t="s">
        <v>163</v>
      </c>
    </row>
    <row r="62" spans="1:10" ht="36.65" customHeight="1" x14ac:dyDescent="0.25">
      <c r="A62" s="11" t="s">
        <v>159</v>
      </c>
      <c r="B62" s="8" t="s">
        <v>161</v>
      </c>
      <c r="C62" s="11" t="s">
        <v>158</v>
      </c>
      <c r="D62" s="11" t="s">
        <v>158</v>
      </c>
      <c r="E62" s="9"/>
      <c r="F62" s="11"/>
      <c r="G62" s="166"/>
      <c r="H62" s="30"/>
      <c r="I62" s="9"/>
      <c r="J62" s="52" t="s">
        <v>163</v>
      </c>
    </row>
    <row r="63" spans="1:10" ht="23" x14ac:dyDescent="0.25">
      <c r="A63" s="11" t="s">
        <v>160</v>
      </c>
      <c r="B63" s="8" t="s">
        <v>162</v>
      </c>
      <c r="C63" s="11" t="s">
        <v>158</v>
      </c>
      <c r="D63" s="11" t="s">
        <v>158</v>
      </c>
      <c r="E63" s="9"/>
      <c r="F63" s="11" t="s">
        <v>264</v>
      </c>
      <c r="G63" s="166"/>
      <c r="H63" s="30"/>
      <c r="I63" s="9"/>
      <c r="J63" s="52" t="s">
        <v>163</v>
      </c>
    </row>
    <row r="64" spans="1:10" ht="36.65" customHeight="1" x14ac:dyDescent="0.25">
      <c r="A64" s="11" t="s">
        <v>160</v>
      </c>
      <c r="B64" s="8" t="s">
        <v>162</v>
      </c>
      <c r="C64" s="11" t="s">
        <v>158</v>
      </c>
      <c r="D64" s="11" t="s">
        <v>158</v>
      </c>
      <c r="E64" s="9"/>
      <c r="F64" s="11"/>
      <c r="G64" s="166"/>
      <c r="H64" s="30"/>
      <c r="I64" s="9"/>
      <c r="J64" s="52" t="s">
        <v>163</v>
      </c>
    </row>
    <row r="65" spans="1:10" ht="29.5" customHeight="1" x14ac:dyDescent="0.35">
      <c r="A65" s="11" t="s">
        <v>271</v>
      </c>
      <c r="B65" s="8"/>
      <c r="C65" s="11"/>
      <c r="D65" s="9"/>
      <c r="E65" s="150"/>
      <c r="F65" s="30" t="s">
        <v>272</v>
      </c>
      <c r="G65" s="166"/>
      <c r="H65" s="11"/>
      <c r="I65" s="9"/>
      <c r="J65" s="151"/>
    </row>
  </sheetData>
  <sortState xmlns:xlrd2="http://schemas.microsoft.com/office/spreadsheetml/2017/richdata2" ref="A52:J56">
    <sortCondition ref="A52:A56"/>
  </sortState>
  <phoneticPr fontId="31" type="noConversion"/>
  <printOptions gridLines="1"/>
  <pageMargins left="0.2" right="0.2" top="0.5" bottom="0.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74E81-88B1-4AA8-892E-805060539D48}">
  <dimension ref="A1:R270"/>
  <sheetViews>
    <sheetView topLeftCell="B1" workbookViewId="0">
      <pane ySplit="1" topLeftCell="A38" activePane="bottomLeft" state="frozen"/>
      <selection activeCell="B1" sqref="B1"/>
      <selection pane="bottomLeft" activeCell="D11" sqref="D11"/>
    </sheetView>
  </sheetViews>
  <sheetFormatPr defaultColWidth="9.1796875" defaultRowHeight="15.5" x14ac:dyDescent="0.35"/>
  <cols>
    <col min="1" max="1" width="0" style="95" hidden="1" customWidth="1"/>
    <col min="2" max="2" width="24.1796875" style="123" bestFit="1" customWidth="1"/>
    <col min="3" max="3" width="24.453125" style="122" customWidth="1"/>
    <col min="4" max="4" width="22.81640625" style="122" customWidth="1"/>
    <col min="5" max="6" width="23.81640625" style="122" customWidth="1"/>
    <col min="7" max="7" width="13.54296875" style="89" customWidth="1"/>
    <col min="8" max="8" width="12.1796875" style="128" customWidth="1"/>
    <col min="9" max="9" width="14.453125" style="95" bestFit="1" customWidth="1"/>
    <col min="10" max="10" width="15.81640625" style="95" bestFit="1" customWidth="1"/>
    <col min="11" max="11" width="19" style="95" customWidth="1"/>
    <col min="12" max="12" width="17.453125" style="95" customWidth="1"/>
    <col min="13" max="13" width="16.1796875" style="95" customWidth="1"/>
    <col min="14" max="14" width="16.54296875" style="95" customWidth="1"/>
    <col min="15" max="15" width="14" style="95" customWidth="1"/>
    <col min="16" max="16384" width="9.1796875" style="95"/>
  </cols>
  <sheetData>
    <row r="1" spans="1:18" s="83" customFormat="1" x14ac:dyDescent="0.35">
      <c r="A1" s="81"/>
      <c r="B1" s="81" t="s">
        <v>249</v>
      </c>
      <c r="C1" s="81" t="s">
        <v>251</v>
      </c>
      <c r="D1" s="81" t="s">
        <v>250</v>
      </c>
      <c r="E1" s="81" t="s">
        <v>252</v>
      </c>
      <c r="F1" s="81"/>
      <c r="G1" s="82" t="s">
        <v>190</v>
      </c>
      <c r="H1" s="127" t="s">
        <v>191</v>
      </c>
    </row>
    <row r="2" spans="1:18" s="83" customFormat="1" x14ac:dyDescent="0.35">
      <c r="A2" s="81"/>
      <c r="B2" s="85" t="s">
        <v>106</v>
      </c>
      <c r="C2" s="175"/>
      <c r="D2" s="176"/>
      <c r="E2" s="91"/>
      <c r="F2" s="91"/>
      <c r="G2" s="92"/>
      <c r="H2" s="129"/>
    </row>
    <row r="3" spans="1:18" s="83" customFormat="1" x14ac:dyDescent="0.35">
      <c r="A3" s="81"/>
      <c r="B3" s="85"/>
      <c r="C3" s="97"/>
      <c r="D3" s="91"/>
      <c r="E3" s="91"/>
      <c r="F3" s="91"/>
      <c r="G3" s="92"/>
      <c r="H3" s="129"/>
    </row>
    <row r="4" spans="1:18" s="83" customFormat="1" x14ac:dyDescent="0.35">
      <c r="A4" s="81"/>
      <c r="B4" s="85"/>
      <c r="C4" s="97"/>
      <c r="D4" s="91"/>
      <c r="E4" s="91"/>
      <c r="F4" s="91"/>
      <c r="G4" s="92"/>
      <c r="H4" s="129"/>
    </row>
    <row r="5" spans="1:18" s="83" customFormat="1" x14ac:dyDescent="0.35">
      <c r="A5" s="81"/>
      <c r="B5" s="85"/>
      <c r="C5" s="97"/>
      <c r="D5" s="91"/>
      <c r="E5" s="91"/>
      <c r="F5" s="91"/>
      <c r="G5" s="92"/>
      <c r="H5" s="129"/>
    </row>
    <row r="6" spans="1:18" s="83" customFormat="1" x14ac:dyDescent="0.35">
      <c r="A6" s="81"/>
      <c r="B6" s="85" t="s">
        <v>192</v>
      </c>
      <c r="C6" s="97"/>
      <c r="D6" s="91"/>
      <c r="E6" s="91"/>
      <c r="F6" s="91"/>
      <c r="G6" s="92"/>
      <c r="H6" s="129"/>
    </row>
    <row r="7" spans="1:18" x14ac:dyDescent="0.35">
      <c r="A7" s="93"/>
      <c r="B7" s="85"/>
      <c r="C7" s="86"/>
      <c r="D7" s="86"/>
      <c r="E7" s="87"/>
      <c r="F7" s="87"/>
      <c r="G7" s="94"/>
      <c r="H7" s="130"/>
      <c r="P7" s="90"/>
      <c r="Q7" s="83"/>
      <c r="R7" s="83"/>
    </row>
    <row r="8" spans="1:18" s="83" customFormat="1" x14ac:dyDescent="0.35">
      <c r="A8" s="81"/>
      <c r="B8" s="81"/>
      <c r="C8" s="96"/>
      <c r="D8" s="96"/>
      <c r="E8" s="96"/>
      <c r="F8" s="96"/>
      <c r="G8" s="94"/>
      <c r="H8" s="130"/>
      <c r="P8" s="90"/>
    </row>
    <row r="9" spans="1:18" s="83" customFormat="1" x14ac:dyDescent="0.35">
      <c r="A9" s="81"/>
      <c r="C9" s="84"/>
      <c r="D9" s="84"/>
      <c r="E9" s="84"/>
      <c r="F9" s="84"/>
      <c r="G9" s="92"/>
      <c r="H9" s="129"/>
    </row>
    <row r="10" spans="1:18" x14ac:dyDescent="0.35">
      <c r="A10" s="93" t="s">
        <v>193</v>
      </c>
      <c r="B10" s="85" t="s">
        <v>44</v>
      </c>
      <c r="C10" s="175"/>
      <c r="D10" s="175"/>
      <c r="E10" s="97"/>
      <c r="F10" s="97"/>
      <c r="G10" s="94"/>
      <c r="H10" s="130"/>
    </row>
    <row r="11" spans="1:18" x14ac:dyDescent="0.35">
      <c r="A11" s="98"/>
      <c r="B11" s="98"/>
      <c r="C11" s="86"/>
      <c r="D11" s="86"/>
      <c r="E11" s="87"/>
      <c r="F11" s="87"/>
      <c r="G11" s="94"/>
      <c r="H11" s="130"/>
    </row>
    <row r="12" spans="1:18" x14ac:dyDescent="0.35">
      <c r="A12" s="98"/>
      <c r="B12" s="98"/>
      <c r="C12" s="95"/>
      <c r="D12" s="95"/>
      <c r="E12" s="95"/>
      <c r="F12" s="95"/>
      <c r="G12" s="94"/>
      <c r="H12" s="130"/>
    </row>
    <row r="13" spans="1:18" x14ac:dyDescent="0.35">
      <c r="A13" s="98"/>
      <c r="B13" s="95"/>
      <c r="C13" s="99"/>
      <c r="D13" s="99"/>
      <c r="E13" s="99"/>
      <c r="F13" s="99"/>
      <c r="G13" s="88"/>
      <c r="H13" s="130"/>
    </row>
    <row r="14" spans="1:18" x14ac:dyDescent="0.35">
      <c r="A14" s="93" t="s">
        <v>195</v>
      </c>
      <c r="B14" s="85" t="s">
        <v>194</v>
      </c>
      <c r="C14" s="177"/>
      <c r="D14" s="177"/>
      <c r="E14" s="100"/>
      <c r="F14" s="100"/>
      <c r="G14" s="94"/>
      <c r="H14" s="130"/>
    </row>
    <row r="15" spans="1:18" x14ac:dyDescent="0.35">
      <c r="A15" s="98"/>
      <c r="B15" s="98"/>
      <c r="C15" s="86"/>
      <c r="D15" s="86"/>
      <c r="E15" s="87"/>
      <c r="F15" s="87"/>
      <c r="G15" s="94"/>
      <c r="H15" s="130"/>
    </row>
    <row r="16" spans="1:18" x14ac:dyDescent="0.35">
      <c r="A16" s="98"/>
      <c r="B16" s="98"/>
      <c r="C16" s="86"/>
      <c r="D16" s="86"/>
      <c r="E16" s="87"/>
      <c r="F16" s="87"/>
      <c r="G16" s="94"/>
      <c r="H16" s="130"/>
    </row>
    <row r="17" spans="1:11" x14ac:dyDescent="0.35">
      <c r="A17" s="98"/>
      <c r="B17" s="98"/>
      <c r="C17" s="101"/>
      <c r="D17" s="101"/>
      <c r="E17" s="101"/>
      <c r="F17" s="101"/>
      <c r="G17" s="94"/>
      <c r="H17" s="130"/>
    </row>
    <row r="18" spans="1:11" x14ac:dyDescent="0.35">
      <c r="A18" s="93" t="s">
        <v>196</v>
      </c>
      <c r="B18" s="81" t="s">
        <v>253</v>
      </c>
      <c r="C18" s="175"/>
      <c r="D18" s="175"/>
      <c r="E18" s="97"/>
      <c r="F18" s="97"/>
      <c r="G18" s="94"/>
      <c r="H18" s="130"/>
    </row>
    <row r="19" spans="1:11" x14ac:dyDescent="0.35">
      <c r="A19" s="98"/>
      <c r="B19" s="102"/>
      <c r="C19" s="86"/>
      <c r="D19" s="86"/>
      <c r="E19" s="87"/>
      <c r="F19" s="87"/>
      <c r="G19" s="94"/>
      <c r="H19" s="130"/>
    </row>
    <row r="20" spans="1:11" x14ac:dyDescent="0.35">
      <c r="A20" s="98"/>
      <c r="B20" s="102"/>
      <c r="C20" s="86"/>
      <c r="D20" s="86"/>
      <c r="E20" s="87"/>
      <c r="F20" s="87"/>
      <c r="G20" s="94"/>
      <c r="H20" s="130"/>
    </row>
    <row r="21" spans="1:11" x14ac:dyDescent="0.35">
      <c r="A21" s="98"/>
      <c r="B21" s="102"/>
      <c r="C21" s="86"/>
      <c r="D21" s="86"/>
      <c r="E21" s="103"/>
      <c r="F21" s="103"/>
      <c r="G21" s="94"/>
      <c r="H21" s="130"/>
    </row>
    <row r="22" spans="1:11" x14ac:dyDescent="0.35">
      <c r="A22" s="98"/>
      <c r="B22" s="102"/>
      <c r="C22" s="86"/>
      <c r="D22" s="86"/>
      <c r="E22" s="104"/>
      <c r="F22" s="104"/>
      <c r="G22" s="94"/>
      <c r="H22" s="130"/>
    </row>
    <row r="23" spans="1:11" x14ac:dyDescent="0.35">
      <c r="A23" s="98"/>
      <c r="B23" s="102"/>
      <c r="C23" s="86"/>
      <c r="D23" s="86"/>
      <c r="E23" s="87"/>
      <c r="F23" s="87"/>
      <c r="G23" s="94"/>
      <c r="H23" s="130"/>
    </row>
    <row r="24" spans="1:11" x14ac:dyDescent="0.35">
      <c r="A24" s="98"/>
      <c r="B24" s="102"/>
      <c r="C24" s="86"/>
      <c r="D24" s="86"/>
      <c r="E24" s="87"/>
      <c r="F24" s="87"/>
      <c r="G24" s="94"/>
      <c r="H24" s="130"/>
    </row>
    <row r="25" spans="1:11" x14ac:dyDescent="0.35">
      <c r="A25" s="98"/>
      <c r="B25" s="98"/>
      <c r="C25" s="105"/>
      <c r="D25" s="105"/>
      <c r="E25" s="105"/>
      <c r="F25" s="105"/>
      <c r="G25" s="94"/>
      <c r="H25" s="130"/>
    </row>
    <row r="26" spans="1:11" x14ac:dyDescent="0.35">
      <c r="A26" s="98"/>
      <c r="B26" s="98"/>
      <c r="C26" s="101"/>
      <c r="D26" s="101"/>
      <c r="E26" s="101"/>
      <c r="F26" s="101"/>
      <c r="G26" s="88"/>
      <c r="H26" s="130"/>
    </row>
    <row r="27" spans="1:11" x14ac:dyDescent="0.35">
      <c r="A27" s="93" t="s">
        <v>197</v>
      </c>
      <c r="B27" s="85" t="s">
        <v>185</v>
      </c>
      <c r="C27" s="175" t="s">
        <v>198</v>
      </c>
      <c r="D27" s="175"/>
      <c r="E27" s="97"/>
      <c r="F27" s="97"/>
      <c r="G27" s="94"/>
      <c r="H27" s="130"/>
    </row>
    <row r="28" spans="1:11" x14ac:dyDescent="0.35">
      <c r="A28" s="93"/>
      <c r="B28" s="85"/>
      <c r="C28" s="86"/>
      <c r="D28" s="86"/>
      <c r="E28" s="87"/>
      <c r="F28" s="87"/>
      <c r="G28" s="88"/>
      <c r="H28" s="131"/>
    </row>
    <row r="29" spans="1:11" x14ac:dyDescent="0.35">
      <c r="A29" s="93"/>
      <c r="B29" s="85"/>
      <c r="C29" s="86"/>
      <c r="D29" s="86"/>
      <c r="E29" s="87"/>
      <c r="F29" s="87"/>
      <c r="G29" s="88"/>
      <c r="H29" s="131"/>
    </row>
    <row r="30" spans="1:11" x14ac:dyDescent="0.35">
      <c r="A30" s="93"/>
      <c r="B30" s="85"/>
      <c r="C30" s="86"/>
      <c r="D30" s="86"/>
      <c r="E30" s="87"/>
      <c r="F30" s="87"/>
      <c r="G30" s="88"/>
      <c r="H30" s="131"/>
    </row>
    <row r="31" spans="1:11" x14ac:dyDescent="0.35">
      <c r="A31" s="93"/>
      <c r="B31" s="85"/>
      <c r="C31" s="86"/>
      <c r="D31" s="86"/>
      <c r="E31" s="87"/>
      <c r="F31" s="87"/>
      <c r="G31" s="88"/>
      <c r="H31" s="130"/>
    </row>
    <row r="32" spans="1:11" x14ac:dyDescent="0.35">
      <c r="A32" s="93"/>
      <c r="B32" s="85"/>
      <c r="C32" s="86"/>
      <c r="D32" s="86"/>
      <c r="E32" s="107"/>
      <c r="F32" s="107"/>
      <c r="G32" s="88"/>
      <c r="H32" s="130"/>
      <c r="K32" s="90"/>
    </row>
    <row r="33" spans="1:13" x14ac:dyDescent="0.35">
      <c r="A33" s="93"/>
      <c r="B33" s="85"/>
      <c r="C33" s="86"/>
      <c r="D33" s="86"/>
      <c r="E33" s="87"/>
      <c r="F33" s="87"/>
      <c r="G33" s="88"/>
      <c r="H33" s="131"/>
    </row>
    <row r="34" spans="1:13" x14ac:dyDescent="0.35">
      <c r="A34" s="93"/>
      <c r="B34" s="85"/>
      <c r="C34" s="86"/>
      <c r="D34" s="86"/>
      <c r="E34" s="87"/>
      <c r="F34" s="87"/>
      <c r="G34" s="88"/>
      <c r="H34" s="130"/>
    </row>
    <row r="35" spans="1:13" x14ac:dyDescent="0.35">
      <c r="A35" s="93"/>
      <c r="B35" s="85"/>
      <c r="C35" s="86"/>
      <c r="D35" s="86"/>
      <c r="E35" s="109"/>
      <c r="F35" s="109"/>
      <c r="G35" s="88"/>
      <c r="H35" s="130"/>
    </row>
    <row r="36" spans="1:13" x14ac:dyDescent="0.35">
      <c r="A36" s="93"/>
      <c r="B36" s="85"/>
      <c r="C36" s="86"/>
      <c r="D36" s="86"/>
      <c r="E36" s="87"/>
      <c r="F36" s="87"/>
      <c r="G36" s="88"/>
      <c r="H36" s="130"/>
    </row>
    <row r="37" spans="1:13" x14ac:dyDescent="0.35">
      <c r="A37" s="93"/>
      <c r="B37" s="85"/>
      <c r="C37" s="95"/>
      <c r="D37" s="95"/>
      <c r="E37" s="95"/>
      <c r="F37" s="95"/>
      <c r="G37" s="88"/>
      <c r="H37" s="130"/>
    </row>
    <row r="38" spans="1:13" x14ac:dyDescent="0.35">
      <c r="A38" s="93"/>
      <c r="B38" s="85"/>
      <c r="C38" s="97"/>
      <c r="D38" s="91"/>
      <c r="E38" s="91"/>
      <c r="F38" s="91"/>
      <c r="G38" s="94"/>
      <c r="H38" s="130"/>
    </row>
    <row r="39" spans="1:13" x14ac:dyDescent="0.35">
      <c r="A39" s="93"/>
      <c r="B39" s="85" t="s">
        <v>199</v>
      </c>
      <c r="C39" s="175"/>
      <c r="D39" s="175"/>
      <c r="E39" s="97"/>
      <c r="F39" s="97"/>
      <c r="G39" s="88"/>
      <c r="H39" s="130"/>
    </row>
    <row r="40" spans="1:13" x14ac:dyDescent="0.35">
      <c r="A40" s="93"/>
      <c r="B40" s="85"/>
      <c r="C40" s="86"/>
      <c r="D40" s="86"/>
      <c r="E40" s="87"/>
      <c r="F40" s="87"/>
      <c r="G40" s="94"/>
      <c r="H40" s="130"/>
    </row>
    <row r="41" spans="1:13" x14ac:dyDescent="0.35">
      <c r="A41" s="93"/>
      <c r="B41" s="85"/>
      <c r="C41" s="86"/>
      <c r="D41" s="86"/>
      <c r="E41" s="87"/>
      <c r="F41" s="87"/>
      <c r="G41" s="94"/>
      <c r="H41" s="130"/>
      <c r="M41" s="90"/>
    </row>
    <row r="42" spans="1:13" x14ac:dyDescent="0.35">
      <c r="A42" s="93"/>
      <c r="B42" s="85"/>
      <c r="C42" s="86"/>
      <c r="D42" s="86"/>
      <c r="E42" s="87"/>
      <c r="F42" s="87"/>
      <c r="G42" s="94"/>
      <c r="H42" s="130"/>
    </row>
    <row r="43" spans="1:13" x14ac:dyDescent="0.35">
      <c r="A43" s="93"/>
      <c r="B43" s="95"/>
      <c r="C43" s="95"/>
      <c r="D43" s="95"/>
      <c r="E43" s="95"/>
      <c r="F43" s="95"/>
      <c r="G43" s="110"/>
      <c r="H43" s="130"/>
    </row>
    <row r="44" spans="1:13" x14ac:dyDescent="0.35">
      <c r="A44" s="93"/>
      <c r="B44" s="85"/>
      <c r="C44" s="97"/>
      <c r="D44" s="91"/>
      <c r="E44" s="91"/>
      <c r="F44" s="91"/>
      <c r="G44" s="88"/>
      <c r="H44" s="130"/>
    </row>
    <row r="45" spans="1:13" x14ac:dyDescent="0.35">
      <c r="A45" s="93"/>
      <c r="B45" s="85" t="s">
        <v>200</v>
      </c>
      <c r="C45" s="175" t="s">
        <v>201</v>
      </c>
      <c r="D45" s="178"/>
      <c r="E45" s="111"/>
      <c r="F45" s="111"/>
      <c r="G45" s="88"/>
      <c r="H45" s="130"/>
    </row>
    <row r="46" spans="1:13" x14ac:dyDescent="0.35">
      <c r="A46" s="93"/>
      <c r="B46" s="85"/>
      <c r="C46" s="86"/>
      <c r="D46" s="86"/>
      <c r="E46" s="87"/>
      <c r="F46" s="87"/>
      <c r="G46" s="88"/>
      <c r="H46" s="130"/>
    </row>
    <row r="47" spans="1:13" x14ac:dyDescent="0.35">
      <c r="A47" s="93"/>
      <c r="B47" s="85"/>
      <c r="C47" s="97"/>
      <c r="D47" s="91"/>
      <c r="E47" s="91"/>
      <c r="F47" s="91"/>
      <c r="G47" s="88"/>
      <c r="H47" s="130"/>
    </row>
    <row r="48" spans="1:13" x14ac:dyDescent="0.35">
      <c r="A48" s="93"/>
      <c r="B48" s="85"/>
      <c r="C48" s="97"/>
      <c r="D48" s="91"/>
      <c r="E48" s="91"/>
      <c r="F48" s="91"/>
      <c r="G48" s="88"/>
      <c r="H48" s="130"/>
    </row>
    <row r="49" spans="1:8" x14ac:dyDescent="0.35">
      <c r="A49" s="102" t="s">
        <v>202</v>
      </c>
      <c r="B49" s="112" t="s">
        <v>186</v>
      </c>
      <c r="C49" s="179" t="s">
        <v>203</v>
      </c>
      <c r="D49" s="179"/>
      <c r="E49" s="113"/>
      <c r="F49" s="113"/>
      <c r="G49" s="92"/>
      <c r="H49" s="129"/>
    </row>
    <row r="50" spans="1:8" x14ac:dyDescent="0.35">
      <c r="A50" s="102"/>
      <c r="B50" s="114"/>
      <c r="C50" s="86"/>
      <c r="D50" s="86"/>
      <c r="E50" s="87"/>
      <c r="F50" s="87"/>
      <c r="G50" s="94"/>
      <c r="H50" s="132"/>
    </row>
    <row r="51" spans="1:8" x14ac:dyDescent="0.35">
      <c r="A51" s="102"/>
      <c r="B51" s="114"/>
      <c r="C51" s="115"/>
      <c r="D51" s="115"/>
      <c r="E51" s="115"/>
      <c r="F51" s="115"/>
      <c r="G51" s="88"/>
      <c r="H51" s="132"/>
    </row>
    <row r="52" spans="1:8" x14ac:dyDescent="0.35">
      <c r="A52" s="102"/>
      <c r="B52" s="112"/>
      <c r="C52" s="95"/>
      <c r="D52" s="95"/>
      <c r="E52" s="95"/>
      <c r="F52" s="95"/>
      <c r="G52" s="88"/>
      <c r="H52" s="132"/>
    </row>
    <row r="53" spans="1:8" x14ac:dyDescent="0.35">
      <c r="A53" s="102"/>
      <c r="B53" s="112" t="s">
        <v>204</v>
      </c>
      <c r="C53" s="116">
        <v>1</v>
      </c>
      <c r="D53" s="95"/>
      <c r="E53" s="95"/>
      <c r="F53" s="95"/>
      <c r="G53" s="88"/>
      <c r="H53" s="132"/>
    </row>
    <row r="54" spans="1:8" x14ac:dyDescent="0.35">
      <c r="A54" s="102"/>
      <c r="B54" s="112"/>
      <c r="C54" s="86"/>
      <c r="D54" s="86"/>
      <c r="E54" s="108"/>
      <c r="F54" s="108"/>
      <c r="G54" s="88"/>
      <c r="H54" s="132"/>
    </row>
    <row r="55" spans="1:8" x14ac:dyDescent="0.35">
      <c r="A55" s="102"/>
      <c r="B55" s="112"/>
      <c r="C55" s="95"/>
      <c r="D55" s="95"/>
      <c r="E55" s="95"/>
      <c r="F55" s="95"/>
      <c r="G55" s="88"/>
      <c r="H55" s="132"/>
    </row>
    <row r="56" spans="1:8" x14ac:dyDescent="0.35">
      <c r="A56" s="102"/>
      <c r="B56" s="112"/>
      <c r="C56" s="95"/>
      <c r="D56" s="95"/>
      <c r="E56" s="95"/>
      <c r="F56" s="95"/>
      <c r="G56" s="88"/>
      <c r="H56" s="132"/>
    </row>
    <row r="57" spans="1:8" x14ac:dyDescent="0.35">
      <c r="A57" s="93" t="s">
        <v>195</v>
      </c>
      <c r="B57" s="85" t="s">
        <v>205</v>
      </c>
      <c r="C57" s="175" t="s">
        <v>206</v>
      </c>
      <c r="D57" s="175"/>
      <c r="E57" s="97"/>
      <c r="F57" s="97"/>
      <c r="G57" s="94"/>
      <c r="H57" s="130"/>
    </row>
    <row r="58" spans="1:8" x14ac:dyDescent="0.35">
      <c r="A58" s="93"/>
      <c r="B58" s="93"/>
      <c r="C58" s="86"/>
      <c r="D58" s="86"/>
      <c r="E58" s="87"/>
      <c r="F58" s="87"/>
      <c r="G58" s="94"/>
      <c r="H58" s="130"/>
    </row>
    <row r="59" spans="1:8" x14ac:dyDescent="0.35">
      <c r="A59" s="93"/>
      <c r="B59" s="93"/>
      <c r="C59" s="117"/>
      <c r="D59" s="117"/>
      <c r="E59" s="117"/>
      <c r="F59" s="117"/>
      <c r="G59" s="94"/>
      <c r="H59" s="130"/>
    </row>
    <row r="60" spans="1:8" x14ac:dyDescent="0.35">
      <c r="A60" s="93"/>
      <c r="B60" s="93"/>
      <c r="C60" s="91"/>
      <c r="D60" s="91"/>
      <c r="E60" s="91"/>
      <c r="F60" s="91"/>
      <c r="G60" s="88"/>
      <c r="H60" s="130"/>
    </row>
    <row r="61" spans="1:8" x14ac:dyDescent="0.35">
      <c r="A61" s="102" t="s">
        <v>195</v>
      </c>
      <c r="B61" s="112" t="s">
        <v>207</v>
      </c>
      <c r="C61" s="180" t="s">
        <v>208</v>
      </c>
      <c r="D61" s="180"/>
      <c r="E61" s="118"/>
      <c r="F61" s="118"/>
      <c r="G61" s="88"/>
      <c r="H61" s="132"/>
    </row>
    <row r="62" spans="1:8" x14ac:dyDescent="0.35">
      <c r="A62" s="90"/>
      <c r="B62" s="102"/>
      <c r="C62" s="86"/>
      <c r="D62" s="86"/>
      <c r="E62" s="87"/>
      <c r="F62" s="87"/>
      <c r="G62" s="88"/>
      <c r="H62" s="132"/>
    </row>
    <row r="63" spans="1:8" x14ac:dyDescent="0.35">
      <c r="A63" s="93"/>
      <c r="B63" s="93"/>
      <c r="C63" s="95"/>
      <c r="D63" s="95"/>
      <c r="E63" s="95"/>
      <c r="F63" s="95"/>
      <c r="G63" s="94"/>
      <c r="H63" s="130"/>
    </row>
    <row r="64" spans="1:8" x14ac:dyDescent="0.35">
      <c r="A64" s="93"/>
      <c r="B64" s="93"/>
      <c r="C64" s="91"/>
      <c r="D64" s="91"/>
      <c r="E64" s="91"/>
      <c r="F64" s="91"/>
      <c r="G64" s="88"/>
      <c r="H64" s="130"/>
    </row>
    <row r="65" spans="1:8" x14ac:dyDescent="0.35">
      <c r="A65" s="93" t="s">
        <v>209</v>
      </c>
      <c r="B65" s="81" t="s">
        <v>187</v>
      </c>
      <c r="C65" s="176"/>
      <c r="D65" s="176"/>
      <c r="E65" s="91"/>
      <c r="F65" s="91"/>
      <c r="G65" s="94"/>
      <c r="H65" s="130"/>
    </row>
    <row r="66" spans="1:8" x14ac:dyDescent="0.35">
      <c r="A66" s="93"/>
      <c r="B66" s="85"/>
      <c r="C66" s="86"/>
      <c r="D66" s="86"/>
      <c r="E66" s="137"/>
      <c r="F66" s="137"/>
      <c r="G66" s="106"/>
      <c r="H66" s="131"/>
    </row>
    <row r="67" spans="1:8" x14ac:dyDescent="0.35">
      <c r="A67" s="93"/>
      <c r="B67" s="85"/>
      <c r="C67" s="86"/>
      <c r="D67" s="86"/>
      <c r="E67" s="87"/>
      <c r="F67" s="87"/>
      <c r="G67" s="106"/>
      <c r="H67" s="131"/>
    </row>
    <row r="68" spans="1:8" x14ac:dyDescent="0.35">
      <c r="A68" s="93"/>
      <c r="B68" s="85"/>
      <c r="C68" s="86"/>
      <c r="D68" s="86"/>
      <c r="E68" s="87"/>
      <c r="F68" s="87"/>
      <c r="G68" s="106"/>
      <c r="H68" s="131"/>
    </row>
    <row r="69" spans="1:8" x14ac:dyDescent="0.35">
      <c r="A69" s="93"/>
      <c r="B69" s="85"/>
      <c r="C69" s="86"/>
      <c r="D69" s="86"/>
      <c r="E69" s="87"/>
      <c r="F69" s="87"/>
      <c r="G69" s="106"/>
      <c r="H69" s="131"/>
    </row>
    <row r="70" spans="1:8" x14ac:dyDescent="0.35">
      <c r="A70" s="93"/>
      <c r="B70" s="85"/>
      <c r="C70" s="86"/>
      <c r="D70" s="86"/>
      <c r="E70" s="87"/>
      <c r="F70" s="87"/>
      <c r="G70" s="106"/>
      <c r="H70" s="131"/>
    </row>
    <row r="71" spans="1:8" x14ac:dyDescent="0.35">
      <c r="A71" s="93"/>
      <c r="B71" s="85"/>
      <c r="C71" s="86"/>
      <c r="D71" s="86"/>
      <c r="E71" s="87"/>
      <c r="F71" s="87"/>
      <c r="G71" s="106"/>
      <c r="H71" s="131"/>
    </row>
    <row r="72" spans="1:8" x14ac:dyDescent="0.35">
      <c r="A72" s="93"/>
      <c r="B72" s="85"/>
      <c r="C72" s="86"/>
      <c r="D72" s="86"/>
      <c r="E72" s="108"/>
      <c r="F72" s="108"/>
      <c r="G72" s="106"/>
      <c r="H72" s="131"/>
    </row>
    <row r="73" spans="1:8" x14ac:dyDescent="0.35">
      <c r="A73" s="93"/>
      <c r="B73" s="85"/>
      <c r="C73" s="86"/>
      <c r="D73" s="86"/>
      <c r="E73" s="87"/>
      <c r="F73" s="87"/>
      <c r="G73" s="106"/>
      <c r="H73" s="131"/>
    </row>
    <row r="74" spans="1:8" x14ac:dyDescent="0.35">
      <c r="A74" s="93"/>
      <c r="B74" s="85"/>
      <c r="C74" s="86"/>
      <c r="D74" s="86"/>
      <c r="E74" s="87"/>
      <c r="F74" s="87"/>
      <c r="G74" s="106"/>
      <c r="H74" s="131"/>
    </row>
    <row r="75" spans="1:8" x14ac:dyDescent="0.35">
      <c r="A75" s="93"/>
      <c r="B75" s="85"/>
      <c r="C75" s="86"/>
      <c r="D75" s="86"/>
      <c r="E75" s="87"/>
      <c r="F75" s="87"/>
      <c r="G75" s="106"/>
      <c r="H75" s="131"/>
    </row>
    <row r="76" spans="1:8" x14ac:dyDescent="0.35">
      <c r="A76" s="93"/>
      <c r="B76" s="85"/>
      <c r="C76" s="86"/>
      <c r="D76" s="86"/>
      <c r="E76" s="87"/>
      <c r="F76" s="87"/>
      <c r="G76" s="106"/>
      <c r="H76" s="130"/>
    </row>
    <row r="77" spans="1:8" x14ac:dyDescent="0.35">
      <c r="A77" s="93"/>
      <c r="B77" s="85"/>
      <c r="C77" s="86"/>
      <c r="D77" s="86"/>
      <c r="E77" s="87"/>
      <c r="F77" s="87"/>
      <c r="G77" s="106"/>
      <c r="H77" s="130"/>
    </row>
    <row r="78" spans="1:8" x14ac:dyDescent="0.35">
      <c r="A78" s="93"/>
      <c r="B78" s="85"/>
      <c r="C78" s="86"/>
      <c r="D78" s="86"/>
      <c r="E78" s="87"/>
      <c r="F78" s="87"/>
      <c r="G78" s="106"/>
      <c r="H78" s="130"/>
    </row>
    <row r="79" spans="1:8" x14ac:dyDescent="0.35">
      <c r="A79" s="93"/>
      <c r="B79" s="85"/>
      <c r="C79" s="86"/>
      <c r="D79" s="86"/>
      <c r="E79" s="119"/>
      <c r="F79" s="119"/>
      <c r="G79" s="106"/>
      <c r="H79" s="130"/>
    </row>
    <row r="80" spans="1:8" x14ac:dyDescent="0.35">
      <c r="A80" s="93"/>
      <c r="B80" s="85"/>
      <c r="C80" s="86"/>
      <c r="D80" s="86"/>
      <c r="E80" s="108"/>
      <c r="F80" s="108"/>
      <c r="G80" s="106"/>
      <c r="H80" s="130"/>
    </row>
    <row r="81" spans="1:8" x14ac:dyDescent="0.35">
      <c r="A81" s="93"/>
      <c r="B81" s="85"/>
      <c r="C81" s="86"/>
      <c r="D81" s="86"/>
      <c r="E81" s="87"/>
      <c r="F81" s="87"/>
      <c r="G81" s="88"/>
      <c r="H81" s="130"/>
    </row>
    <row r="82" spans="1:8" x14ac:dyDescent="0.35">
      <c r="A82" s="93"/>
      <c r="B82" s="85"/>
      <c r="C82" s="96"/>
      <c r="D82" s="96"/>
      <c r="E82" s="96"/>
      <c r="F82" s="96"/>
      <c r="G82" s="88"/>
      <c r="H82" s="130"/>
    </row>
    <row r="83" spans="1:8" x14ac:dyDescent="0.35">
      <c r="A83" s="93"/>
      <c r="B83" s="93"/>
      <c r="C83" s="91"/>
      <c r="D83" s="91"/>
      <c r="E83" s="91"/>
      <c r="F83" s="91"/>
      <c r="G83" s="88"/>
      <c r="H83" s="130"/>
    </row>
    <row r="84" spans="1:8" x14ac:dyDescent="0.35">
      <c r="A84" s="93" t="s">
        <v>195</v>
      </c>
      <c r="B84" s="85" t="s">
        <v>210</v>
      </c>
      <c r="C84" s="177"/>
      <c r="D84" s="177"/>
      <c r="E84" s="100"/>
      <c r="F84" s="100"/>
      <c r="G84" s="94"/>
      <c r="H84" s="130"/>
    </row>
    <row r="85" spans="1:8" x14ac:dyDescent="0.35">
      <c r="A85" s="93"/>
      <c r="B85" s="93"/>
      <c r="C85" s="86"/>
      <c r="D85" s="86"/>
      <c r="E85" s="87"/>
      <c r="F85" s="87"/>
      <c r="G85" s="94"/>
      <c r="H85" s="130"/>
    </row>
    <row r="86" spans="1:8" x14ac:dyDescent="0.35">
      <c r="A86" s="93"/>
      <c r="B86" s="93"/>
      <c r="C86" s="86"/>
      <c r="D86" s="86"/>
      <c r="E86" s="87"/>
      <c r="F86" s="87"/>
      <c r="G86" s="94"/>
      <c r="H86" s="130"/>
    </row>
    <row r="87" spans="1:8" x14ac:dyDescent="0.35">
      <c r="A87" s="93"/>
      <c r="B87" s="93"/>
      <c r="C87" s="95"/>
      <c r="D87" s="95"/>
      <c r="E87" s="95"/>
      <c r="F87" s="95"/>
      <c r="G87" s="94"/>
      <c r="H87" s="130"/>
    </row>
    <row r="88" spans="1:8" x14ac:dyDescent="0.35">
      <c r="A88" s="93"/>
      <c r="B88" s="120"/>
      <c r="C88" s="91"/>
      <c r="D88" s="91"/>
      <c r="E88" s="91"/>
      <c r="F88" s="91"/>
      <c r="G88" s="88"/>
      <c r="H88" s="130"/>
    </row>
    <row r="89" spans="1:8" x14ac:dyDescent="0.35">
      <c r="A89" s="93"/>
      <c r="B89" s="121" t="s">
        <v>211</v>
      </c>
      <c r="C89" s="177" t="s">
        <v>212</v>
      </c>
      <c r="D89" s="177"/>
      <c r="E89" s="100"/>
      <c r="F89" s="100"/>
      <c r="G89" s="88"/>
      <c r="H89" s="130"/>
    </row>
    <row r="90" spans="1:8" x14ac:dyDescent="0.35">
      <c r="A90" s="93"/>
      <c r="B90" s="120"/>
      <c r="C90" s="86"/>
      <c r="D90" s="86"/>
      <c r="E90" s="87"/>
      <c r="F90" s="87"/>
      <c r="G90" s="88"/>
      <c r="H90" s="130"/>
    </row>
    <row r="91" spans="1:8" x14ac:dyDescent="0.35">
      <c r="A91" s="93"/>
      <c r="B91" s="120"/>
      <c r="C91" s="91"/>
      <c r="D91" s="91"/>
      <c r="E91" s="91"/>
      <c r="F91" s="91"/>
      <c r="G91" s="88"/>
      <c r="H91" s="130"/>
    </row>
    <row r="92" spans="1:8" x14ac:dyDescent="0.35">
      <c r="A92" s="93"/>
      <c r="B92" s="120"/>
      <c r="C92" s="91"/>
      <c r="D92" s="91"/>
      <c r="E92" s="91"/>
      <c r="F92" s="91"/>
      <c r="G92" s="88"/>
      <c r="H92" s="130"/>
    </row>
    <row r="93" spans="1:8" x14ac:dyDescent="0.35">
      <c r="A93" s="93"/>
      <c r="B93" s="85" t="s">
        <v>213</v>
      </c>
      <c r="C93" s="175" t="s">
        <v>214</v>
      </c>
      <c r="D93" s="179"/>
      <c r="E93" s="113"/>
      <c r="F93" s="113"/>
      <c r="G93" s="88"/>
      <c r="H93" s="130"/>
    </row>
    <row r="94" spans="1:8" x14ac:dyDescent="0.35">
      <c r="A94" s="93"/>
      <c r="B94" s="85"/>
      <c r="C94" s="86"/>
      <c r="D94" s="86"/>
      <c r="E94" s="87"/>
      <c r="F94" s="87"/>
      <c r="G94" s="88"/>
      <c r="H94" s="130"/>
    </row>
    <row r="95" spans="1:8" x14ac:dyDescent="0.35">
      <c r="A95" s="93"/>
      <c r="B95" s="93"/>
      <c r="C95" s="86"/>
      <c r="D95" s="86"/>
      <c r="E95" s="87"/>
      <c r="F95" s="87"/>
      <c r="G95" s="88"/>
      <c r="H95" s="130"/>
    </row>
    <row r="96" spans="1:8" x14ac:dyDescent="0.35">
      <c r="A96" s="93"/>
      <c r="B96" s="93"/>
      <c r="C96" s="86"/>
      <c r="D96" s="86"/>
      <c r="E96" s="86"/>
      <c r="F96" s="86"/>
      <c r="G96" s="88"/>
      <c r="H96" s="130"/>
    </row>
    <row r="97" spans="1:8" x14ac:dyDescent="0.35">
      <c r="A97" s="93"/>
      <c r="B97" s="93"/>
      <c r="C97" s="91"/>
      <c r="D97" s="91"/>
      <c r="E97" s="91"/>
      <c r="F97" s="91"/>
      <c r="G97" s="88"/>
      <c r="H97" s="130"/>
    </row>
    <row r="98" spans="1:8" x14ac:dyDescent="0.35">
      <c r="A98" s="93"/>
      <c r="B98" s="85" t="s">
        <v>52</v>
      </c>
      <c r="C98" s="176"/>
      <c r="D98" s="176"/>
      <c r="E98" s="91"/>
      <c r="F98" s="91"/>
      <c r="G98" s="94"/>
      <c r="H98" s="130"/>
    </row>
    <row r="99" spans="1:8" x14ac:dyDescent="0.35">
      <c r="A99" s="93"/>
      <c r="B99" s="85"/>
      <c r="C99" s="86"/>
      <c r="D99" s="86"/>
      <c r="E99" s="87"/>
      <c r="F99" s="87"/>
      <c r="G99" s="94"/>
      <c r="H99" s="133"/>
    </row>
    <row r="100" spans="1:8" x14ac:dyDescent="0.35">
      <c r="A100" s="93"/>
      <c r="B100" s="85"/>
      <c r="C100" s="86"/>
      <c r="D100" s="86"/>
      <c r="E100" s="87"/>
      <c r="F100" s="87"/>
      <c r="G100" s="94"/>
      <c r="H100" s="130"/>
    </row>
    <row r="101" spans="1:8" x14ac:dyDescent="0.35">
      <c r="A101" s="93"/>
      <c r="B101" s="85"/>
      <c r="C101" s="86"/>
      <c r="D101" s="86"/>
      <c r="E101" s="87"/>
      <c r="F101" s="87"/>
      <c r="G101" s="94"/>
      <c r="H101" s="133"/>
    </row>
    <row r="102" spans="1:8" x14ac:dyDescent="0.35">
      <c r="A102" s="93"/>
      <c r="B102" s="85"/>
      <c r="C102" s="86"/>
      <c r="D102" s="86"/>
      <c r="E102" s="87"/>
      <c r="F102" s="87"/>
      <c r="G102" s="94"/>
      <c r="H102" s="133"/>
    </row>
    <row r="103" spans="1:8" x14ac:dyDescent="0.35">
      <c r="A103" s="93"/>
      <c r="B103" s="85"/>
      <c r="C103" s="86"/>
      <c r="D103" s="86"/>
      <c r="E103" s="87"/>
      <c r="F103" s="87"/>
      <c r="G103" s="94"/>
      <c r="H103" s="133"/>
    </row>
    <row r="104" spans="1:8" x14ac:dyDescent="0.35">
      <c r="A104" s="98"/>
      <c r="B104" s="98"/>
      <c r="G104" s="94"/>
      <c r="H104" s="130"/>
    </row>
    <row r="105" spans="1:8" x14ac:dyDescent="0.35">
      <c r="A105" s="98"/>
      <c r="B105" s="93"/>
      <c r="C105" s="91"/>
      <c r="D105" s="91"/>
      <c r="E105" s="91"/>
      <c r="F105" s="91"/>
      <c r="G105" s="88"/>
      <c r="H105" s="130"/>
    </row>
    <row r="106" spans="1:8" x14ac:dyDescent="0.35">
      <c r="A106" s="98"/>
      <c r="B106" s="85" t="s">
        <v>215</v>
      </c>
      <c r="C106" s="175" t="s">
        <v>216</v>
      </c>
      <c r="D106" s="175"/>
      <c r="E106" s="97"/>
      <c r="F106" s="97"/>
      <c r="G106" s="88"/>
      <c r="H106" s="132"/>
    </row>
    <row r="107" spans="1:8" x14ac:dyDescent="0.35">
      <c r="A107" s="98"/>
      <c r="B107" s="98"/>
      <c r="C107" s="86"/>
      <c r="D107" s="86"/>
      <c r="E107" s="87"/>
      <c r="F107" s="87"/>
      <c r="G107" s="94"/>
      <c r="H107" s="132"/>
    </row>
    <row r="108" spans="1:8" x14ac:dyDescent="0.35">
      <c r="A108" s="98"/>
      <c r="B108" s="98"/>
      <c r="C108" s="86"/>
      <c r="D108" s="86"/>
      <c r="E108" s="87"/>
      <c r="F108" s="87"/>
      <c r="G108" s="94"/>
      <c r="H108" s="131"/>
    </row>
    <row r="109" spans="1:8" x14ac:dyDescent="0.35">
      <c r="A109" s="98"/>
      <c r="B109" s="98"/>
      <c r="C109" s="86"/>
      <c r="D109" s="86"/>
      <c r="E109" s="87"/>
      <c r="F109" s="87"/>
      <c r="G109" s="94"/>
      <c r="H109" s="132"/>
    </row>
    <row r="110" spans="1:8" x14ac:dyDescent="0.35">
      <c r="A110" s="98"/>
      <c r="B110" s="98"/>
      <c r="C110" s="86"/>
      <c r="D110" s="86"/>
      <c r="E110" s="87"/>
      <c r="F110" s="87"/>
      <c r="G110" s="94"/>
      <c r="H110" s="132"/>
    </row>
    <row r="111" spans="1:8" x14ac:dyDescent="0.35">
      <c r="A111" s="98"/>
      <c r="B111" s="98"/>
      <c r="C111" s="86"/>
      <c r="D111" s="86"/>
      <c r="E111" s="87"/>
      <c r="F111" s="87"/>
      <c r="G111" s="94"/>
      <c r="H111" s="131"/>
    </row>
    <row r="112" spans="1:8" x14ac:dyDescent="0.35">
      <c r="A112" s="98"/>
      <c r="B112" s="98"/>
      <c r="C112" s="86"/>
      <c r="D112" s="86"/>
      <c r="E112" s="87"/>
      <c r="F112" s="87"/>
      <c r="G112" s="94"/>
      <c r="H112" s="131"/>
    </row>
    <row r="113" spans="1:8" x14ac:dyDescent="0.35">
      <c r="A113" s="98"/>
      <c r="B113" s="98"/>
      <c r="C113" s="86"/>
      <c r="D113" s="86"/>
      <c r="E113" s="86"/>
      <c r="F113" s="86"/>
      <c r="G113" s="94"/>
      <c r="H113" s="131"/>
    </row>
    <row r="114" spans="1:8" x14ac:dyDescent="0.35">
      <c r="A114" s="98"/>
      <c r="B114" s="93"/>
      <c r="C114" s="96"/>
      <c r="D114" s="96"/>
      <c r="E114" s="96"/>
      <c r="F114" s="96"/>
      <c r="G114" s="88"/>
      <c r="H114" s="132"/>
    </row>
    <row r="115" spans="1:8" x14ac:dyDescent="0.35">
      <c r="A115" s="98"/>
      <c r="B115" s="85" t="s">
        <v>127</v>
      </c>
      <c r="C115" s="175" t="s">
        <v>217</v>
      </c>
      <c r="D115" s="175"/>
      <c r="E115" s="97"/>
      <c r="F115" s="97"/>
      <c r="G115" s="88"/>
      <c r="H115" s="132"/>
    </row>
    <row r="116" spans="1:8" x14ac:dyDescent="0.35">
      <c r="A116" s="98"/>
      <c r="B116" s="98"/>
      <c r="C116" s="86"/>
      <c r="D116" s="86"/>
      <c r="E116" s="87"/>
      <c r="F116" s="87"/>
      <c r="G116" s="94"/>
      <c r="H116" s="130"/>
    </row>
    <row r="117" spans="1:8" x14ac:dyDescent="0.35">
      <c r="A117" s="93"/>
      <c r="C117" s="86"/>
      <c r="D117" s="86"/>
      <c r="E117" s="87"/>
      <c r="F117" s="87"/>
      <c r="G117" s="94"/>
      <c r="H117" s="130"/>
    </row>
    <row r="118" spans="1:8" x14ac:dyDescent="0.35">
      <c r="A118" s="93"/>
      <c r="C118" s="86"/>
      <c r="D118" s="86"/>
      <c r="E118" s="87"/>
      <c r="F118" s="87"/>
      <c r="G118" s="94"/>
      <c r="H118" s="131"/>
    </row>
    <row r="119" spans="1:8" x14ac:dyDescent="0.35">
      <c r="A119" s="93"/>
      <c r="C119" s="86"/>
      <c r="D119" s="86"/>
      <c r="E119" s="108"/>
      <c r="F119" s="108"/>
      <c r="G119" s="94"/>
      <c r="H119" s="131"/>
    </row>
    <row r="120" spans="1:8" x14ac:dyDescent="0.35">
      <c r="A120" s="98"/>
      <c r="B120" s="98"/>
      <c r="C120" s="86"/>
      <c r="D120" s="86"/>
      <c r="E120" s="87"/>
      <c r="F120" s="87"/>
      <c r="G120" s="94"/>
      <c r="H120" s="132"/>
    </row>
    <row r="121" spans="1:8" x14ac:dyDescent="0.35">
      <c r="A121" s="98"/>
      <c r="B121" s="98"/>
      <c r="C121" s="86"/>
      <c r="D121" s="86"/>
      <c r="E121" s="108"/>
      <c r="F121" s="108"/>
      <c r="G121" s="94"/>
      <c r="H121" s="130"/>
    </row>
    <row r="122" spans="1:8" x14ac:dyDescent="0.35">
      <c r="A122" s="98"/>
      <c r="B122" s="98"/>
      <c r="C122" s="86"/>
      <c r="D122" s="86"/>
      <c r="E122" s="86"/>
      <c r="F122" s="86"/>
      <c r="G122" s="94"/>
      <c r="H122" s="131"/>
    </row>
    <row r="123" spans="1:8" x14ac:dyDescent="0.35">
      <c r="A123" s="98"/>
      <c r="B123" s="93"/>
      <c r="C123" s="91"/>
      <c r="D123" s="91"/>
      <c r="E123" s="91"/>
      <c r="F123" s="91"/>
      <c r="G123" s="88"/>
      <c r="H123" s="132"/>
    </row>
    <row r="124" spans="1:8" x14ac:dyDescent="0.35">
      <c r="A124" s="98"/>
      <c r="B124" s="85" t="s">
        <v>218</v>
      </c>
      <c r="C124" s="97" t="s">
        <v>219</v>
      </c>
      <c r="D124" s="91"/>
      <c r="E124" s="91"/>
      <c r="F124" s="91"/>
      <c r="G124" s="88"/>
      <c r="H124" s="132"/>
    </row>
    <row r="125" spans="1:8" x14ac:dyDescent="0.35">
      <c r="A125" s="98"/>
      <c r="B125" s="85"/>
      <c r="C125" s="86"/>
      <c r="D125" s="86"/>
      <c r="E125" s="87"/>
      <c r="F125" s="87"/>
      <c r="G125" s="88"/>
      <c r="H125" s="132"/>
    </row>
    <row r="126" spans="1:8" x14ac:dyDescent="0.35">
      <c r="A126" s="98"/>
      <c r="B126" s="85"/>
      <c r="C126" s="91"/>
      <c r="D126" s="91"/>
      <c r="E126" s="91"/>
      <c r="F126" s="91"/>
      <c r="G126" s="88"/>
      <c r="H126" s="132"/>
    </row>
    <row r="127" spans="1:8" x14ac:dyDescent="0.35">
      <c r="A127" s="98"/>
      <c r="B127" s="85"/>
      <c r="C127" s="91"/>
      <c r="D127" s="91"/>
      <c r="E127" s="91"/>
      <c r="F127" s="91"/>
      <c r="G127" s="88"/>
      <c r="H127" s="132"/>
    </row>
    <row r="128" spans="1:8" x14ac:dyDescent="0.35">
      <c r="A128" s="98"/>
      <c r="B128" s="93"/>
      <c r="C128" s="91"/>
      <c r="D128" s="91"/>
      <c r="E128" s="91"/>
      <c r="F128" s="91"/>
      <c r="G128" s="88"/>
      <c r="H128" s="132"/>
    </row>
    <row r="129" spans="1:8" x14ac:dyDescent="0.35">
      <c r="A129" s="93"/>
      <c r="B129" s="85" t="s">
        <v>220</v>
      </c>
      <c r="C129" s="181"/>
      <c r="D129" s="175"/>
      <c r="E129" s="97"/>
      <c r="F129" s="97"/>
      <c r="G129" s="88"/>
      <c r="H129" s="132"/>
    </row>
    <row r="130" spans="1:8" x14ac:dyDescent="0.35">
      <c r="A130" s="93"/>
      <c r="B130" s="93"/>
      <c r="C130" s="86"/>
      <c r="D130" s="86"/>
      <c r="E130" s="87"/>
      <c r="F130" s="87"/>
      <c r="G130" s="88"/>
      <c r="H130" s="132"/>
    </row>
    <row r="131" spans="1:8" x14ac:dyDescent="0.35">
      <c r="A131" s="93"/>
      <c r="B131" s="93"/>
      <c r="C131" s="86"/>
      <c r="D131" s="86"/>
      <c r="E131" s="87"/>
      <c r="F131" s="87"/>
      <c r="G131" s="88"/>
      <c r="H131" s="132"/>
    </row>
    <row r="132" spans="1:8" x14ac:dyDescent="0.35">
      <c r="A132" s="93"/>
      <c r="B132" s="93"/>
      <c r="C132" s="86"/>
      <c r="D132" s="86"/>
      <c r="E132" s="87"/>
      <c r="F132" s="87"/>
      <c r="G132" s="88"/>
      <c r="H132" s="132"/>
    </row>
    <row r="133" spans="1:8" x14ac:dyDescent="0.35">
      <c r="A133" s="93"/>
      <c r="B133" s="93"/>
      <c r="C133" s="95"/>
      <c r="D133" s="95"/>
      <c r="E133" s="95"/>
      <c r="F133" s="95"/>
      <c r="G133" s="88"/>
      <c r="H133" s="132"/>
    </row>
    <row r="134" spans="1:8" x14ac:dyDescent="0.35">
      <c r="A134" s="93"/>
      <c r="B134" s="93"/>
      <c r="C134" s="95"/>
      <c r="D134" s="95"/>
      <c r="E134" s="95"/>
      <c r="F134" s="95"/>
      <c r="G134" s="88"/>
      <c r="H134" s="132"/>
    </row>
    <row r="135" spans="1:8" x14ac:dyDescent="0.35">
      <c r="A135" s="93"/>
      <c r="B135" s="85" t="s">
        <v>254</v>
      </c>
      <c r="C135" s="159" t="s">
        <v>295</v>
      </c>
      <c r="D135" s="95"/>
      <c r="E135" s="95"/>
      <c r="F135" s="95"/>
      <c r="G135" s="88"/>
      <c r="H135" s="132"/>
    </row>
    <row r="136" spans="1:8" x14ac:dyDescent="0.35">
      <c r="A136" s="93"/>
      <c r="B136" s="85"/>
      <c r="C136" s="95"/>
      <c r="D136" s="95"/>
      <c r="E136" s="124"/>
      <c r="F136" s="124"/>
      <c r="G136" s="88"/>
      <c r="H136" s="132"/>
    </row>
    <row r="137" spans="1:8" x14ac:dyDescent="0.35">
      <c r="A137" s="93"/>
      <c r="B137" s="85"/>
      <c r="C137" s="95"/>
      <c r="D137" s="95"/>
      <c r="E137" s="124"/>
      <c r="F137" s="124"/>
      <c r="G137" s="88"/>
      <c r="H137" s="132"/>
    </row>
    <row r="138" spans="1:8" x14ac:dyDescent="0.35">
      <c r="A138" s="93"/>
      <c r="B138" s="85"/>
      <c r="C138" s="95"/>
      <c r="D138" s="95"/>
      <c r="E138" s="124"/>
      <c r="F138" s="124"/>
      <c r="G138" s="88"/>
      <c r="H138" s="132"/>
    </row>
    <row r="139" spans="1:8" x14ac:dyDescent="0.35">
      <c r="A139" s="93"/>
      <c r="B139" s="85"/>
      <c r="C139" s="95"/>
      <c r="D139" s="95"/>
      <c r="E139" s="124"/>
      <c r="F139" s="124"/>
      <c r="G139" s="88"/>
      <c r="H139" s="132"/>
    </row>
    <row r="140" spans="1:8" x14ac:dyDescent="0.35">
      <c r="A140" s="93"/>
      <c r="B140" s="85" t="s">
        <v>298</v>
      </c>
      <c r="C140" s="95"/>
      <c r="D140" s="95"/>
      <c r="E140" s="124"/>
      <c r="F140" s="124"/>
      <c r="G140" s="88"/>
      <c r="H140" s="132"/>
    </row>
    <row r="141" spans="1:8" x14ac:dyDescent="0.35">
      <c r="A141" s="93"/>
      <c r="B141" s="85"/>
      <c r="C141" s="95"/>
      <c r="D141" s="95"/>
      <c r="E141" s="124"/>
      <c r="F141" s="124"/>
      <c r="G141" s="88"/>
      <c r="H141" s="132"/>
    </row>
    <row r="142" spans="1:8" x14ac:dyDescent="0.35">
      <c r="A142" s="93"/>
      <c r="B142" s="85"/>
      <c r="C142" s="95"/>
      <c r="D142" s="95"/>
      <c r="E142" s="124"/>
      <c r="F142" s="124"/>
      <c r="G142" s="88"/>
      <c r="H142" s="132"/>
    </row>
    <row r="143" spans="1:8" x14ac:dyDescent="0.35">
      <c r="A143" s="93"/>
      <c r="B143" s="85"/>
      <c r="C143" s="95"/>
      <c r="D143" s="95"/>
      <c r="E143" s="124"/>
      <c r="F143" s="124"/>
      <c r="G143" s="88"/>
      <c r="H143" s="132"/>
    </row>
    <row r="144" spans="1:8" ht="16.5" customHeight="1" x14ac:dyDescent="0.35">
      <c r="A144" s="93"/>
      <c r="B144" s="93"/>
      <c r="C144" s="95"/>
      <c r="D144" s="95"/>
      <c r="E144" s="95"/>
      <c r="F144" s="95"/>
      <c r="G144" s="88"/>
      <c r="H144" s="132"/>
    </row>
    <row r="145" spans="1:8" x14ac:dyDescent="0.35">
      <c r="A145" s="93"/>
      <c r="B145" s="93"/>
      <c r="C145" s="95"/>
      <c r="D145" s="95"/>
      <c r="E145" s="95"/>
      <c r="F145" s="95"/>
      <c r="G145" s="88"/>
      <c r="H145" s="132"/>
    </row>
    <row r="146" spans="1:8" ht="15" customHeight="1" x14ac:dyDescent="0.35">
      <c r="A146" s="93"/>
      <c r="B146" s="85" t="s">
        <v>221</v>
      </c>
      <c r="C146" s="175" t="s">
        <v>222</v>
      </c>
      <c r="D146" s="175"/>
      <c r="E146" s="97"/>
      <c r="F146" s="97"/>
      <c r="G146" s="88"/>
      <c r="H146" s="132"/>
    </row>
    <row r="147" spans="1:8" ht="15" customHeight="1" x14ac:dyDescent="0.35">
      <c r="A147" s="93"/>
      <c r="B147" s="85"/>
      <c r="C147" s="97"/>
      <c r="D147" s="97"/>
      <c r="E147" s="97"/>
      <c r="F147" s="97"/>
      <c r="G147" s="88"/>
      <c r="H147" s="132"/>
    </row>
    <row r="148" spans="1:8" ht="15" customHeight="1" x14ac:dyDescent="0.35">
      <c r="A148" s="93"/>
      <c r="B148" s="85"/>
      <c r="C148" s="97"/>
      <c r="D148" s="97"/>
      <c r="E148" s="97"/>
      <c r="F148" s="97"/>
      <c r="G148" s="88"/>
      <c r="H148" s="132"/>
    </row>
    <row r="149" spans="1:8" ht="15" customHeight="1" x14ac:dyDescent="0.35">
      <c r="A149" s="93"/>
      <c r="B149" s="85"/>
      <c r="C149" s="97"/>
      <c r="D149" s="97"/>
      <c r="E149" s="97"/>
      <c r="F149" s="97"/>
      <c r="G149" s="88"/>
      <c r="H149" s="132"/>
    </row>
    <row r="150" spans="1:8" ht="15" customHeight="1" x14ac:dyDescent="0.35">
      <c r="A150" s="93"/>
      <c r="B150" s="85"/>
      <c r="C150" s="97"/>
      <c r="D150" s="97"/>
      <c r="E150" s="97"/>
      <c r="F150" s="97"/>
      <c r="G150" s="88"/>
      <c r="H150" s="132"/>
    </row>
    <row r="151" spans="1:8" ht="14.25" customHeight="1" x14ac:dyDescent="0.35">
      <c r="A151" s="93"/>
      <c r="B151" s="85" t="s">
        <v>86</v>
      </c>
      <c r="C151" s="86"/>
      <c r="D151" s="86"/>
      <c r="E151" s="87"/>
      <c r="F151" s="87"/>
      <c r="G151" s="88"/>
      <c r="H151" s="132"/>
    </row>
    <row r="152" spans="1:8" ht="15" customHeight="1" x14ac:dyDescent="0.35">
      <c r="A152" s="93"/>
      <c r="B152" s="85"/>
      <c r="C152" s="86"/>
      <c r="D152" s="86"/>
      <c r="E152" s="87"/>
      <c r="F152" s="87"/>
      <c r="G152" s="94"/>
      <c r="H152" s="130"/>
    </row>
    <row r="153" spans="1:8" x14ac:dyDescent="0.35">
      <c r="A153" s="102"/>
      <c r="B153" s="85"/>
      <c r="C153" s="86"/>
      <c r="D153" s="86"/>
      <c r="E153" s="87"/>
      <c r="F153" s="87"/>
      <c r="G153" s="88"/>
      <c r="H153" s="132"/>
    </row>
    <row r="154" spans="1:8" x14ac:dyDescent="0.35">
      <c r="A154" s="93"/>
      <c r="B154" s="93"/>
      <c r="C154" s="95"/>
      <c r="D154" s="95"/>
      <c r="E154" s="95"/>
      <c r="F154" s="95"/>
      <c r="G154" s="88"/>
      <c r="H154" s="132"/>
    </row>
    <row r="155" spans="1:8" x14ac:dyDescent="0.35">
      <c r="A155" s="93"/>
      <c r="B155" s="93"/>
      <c r="C155" s="91"/>
      <c r="D155" s="91"/>
      <c r="E155" s="91"/>
      <c r="F155" s="91"/>
      <c r="G155" s="88"/>
      <c r="H155" s="132"/>
    </row>
    <row r="156" spans="1:8" x14ac:dyDescent="0.35">
      <c r="A156" s="93"/>
      <c r="B156" s="85" t="s">
        <v>223</v>
      </c>
      <c r="C156" s="175"/>
      <c r="D156" s="175"/>
      <c r="E156" s="97"/>
      <c r="F156" s="97"/>
      <c r="G156" s="94"/>
      <c r="H156" s="130"/>
    </row>
    <row r="157" spans="1:8" x14ac:dyDescent="0.35">
      <c r="A157" s="93"/>
      <c r="B157" s="85"/>
      <c r="C157" s="86"/>
      <c r="D157" s="86"/>
      <c r="E157" s="87"/>
      <c r="F157" s="87"/>
      <c r="G157" s="94"/>
      <c r="H157" s="130"/>
    </row>
    <row r="158" spans="1:8" x14ac:dyDescent="0.35">
      <c r="A158" s="93" t="s">
        <v>224</v>
      </c>
      <c r="B158" s="93"/>
      <c r="C158" s="91"/>
      <c r="D158" s="91"/>
      <c r="E158" s="91"/>
      <c r="F158" s="91"/>
      <c r="G158" s="94"/>
      <c r="H158" s="130"/>
    </row>
    <row r="159" spans="1:8" x14ac:dyDescent="0.35">
      <c r="A159" s="93"/>
      <c r="B159" s="93"/>
      <c r="C159" s="91"/>
      <c r="D159" s="91"/>
      <c r="E159" s="91"/>
      <c r="F159" s="91"/>
      <c r="G159" s="88"/>
      <c r="H159" s="130"/>
    </row>
    <row r="160" spans="1:8" x14ac:dyDescent="0.35">
      <c r="A160" s="93"/>
      <c r="B160" s="85" t="s">
        <v>225</v>
      </c>
      <c r="C160" s="175" t="s">
        <v>226</v>
      </c>
      <c r="D160" s="175"/>
      <c r="E160" s="97"/>
      <c r="F160" s="97"/>
      <c r="G160" s="94"/>
      <c r="H160" s="130"/>
    </row>
    <row r="161" spans="1:8" x14ac:dyDescent="0.35">
      <c r="A161" s="93"/>
      <c r="B161" s="85"/>
      <c r="C161" s="86"/>
      <c r="D161" s="86"/>
      <c r="E161" s="87"/>
      <c r="F161" s="87"/>
      <c r="G161" s="94"/>
      <c r="H161" s="130"/>
    </row>
    <row r="162" spans="1:8" x14ac:dyDescent="0.35">
      <c r="A162" s="93"/>
      <c r="B162" s="93"/>
      <c r="C162" s="91"/>
      <c r="D162" s="91"/>
      <c r="E162" s="91"/>
      <c r="F162" s="91"/>
      <c r="G162" s="94"/>
      <c r="H162" s="130"/>
    </row>
    <row r="163" spans="1:8" x14ac:dyDescent="0.35">
      <c r="A163" s="93"/>
      <c r="B163" s="93"/>
      <c r="C163" s="91"/>
      <c r="D163" s="91"/>
      <c r="E163" s="91"/>
      <c r="F163" s="91"/>
      <c r="G163" s="88"/>
      <c r="H163" s="130"/>
    </row>
    <row r="164" spans="1:8" x14ac:dyDescent="0.35">
      <c r="A164" s="93"/>
      <c r="B164" s="85" t="s">
        <v>302</v>
      </c>
      <c r="C164" s="86"/>
      <c r="D164" s="86"/>
      <c r="E164" s="87"/>
      <c r="F164" s="87"/>
      <c r="H164" s="132"/>
    </row>
    <row r="165" spans="1:8" x14ac:dyDescent="0.35">
      <c r="A165" s="93"/>
      <c r="B165" s="93"/>
      <c r="C165" s="86"/>
      <c r="D165" s="86"/>
      <c r="E165" s="87"/>
      <c r="F165" s="87"/>
      <c r="G165" s="88"/>
      <c r="H165" s="130"/>
    </row>
    <row r="166" spans="1:8" x14ac:dyDescent="0.35">
      <c r="A166" s="93"/>
      <c r="B166" s="93"/>
      <c r="C166" s="86"/>
      <c r="D166" s="86"/>
      <c r="E166" s="87"/>
      <c r="F166" s="87"/>
      <c r="G166" s="88"/>
      <c r="H166" s="130"/>
    </row>
    <row r="167" spans="1:8" x14ac:dyDescent="0.35">
      <c r="A167" s="93"/>
      <c r="B167" s="93"/>
      <c r="C167" s="86"/>
      <c r="D167" s="86"/>
      <c r="E167" s="86"/>
      <c r="F167" s="86"/>
      <c r="G167" s="88"/>
      <c r="H167" s="130"/>
    </row>
    <row r="168" spans="1:8" x14ac:dyDescent="0.35">
      <c r="A168" s="93"/>
      <c r="B168" s="93"/>
      <c r="C168" s="91"/>
      <c r="D168" s="91"/>
      <c r="E168" s="91"/>
      <c r="F168" s="91"/>
      <c r="G168" s="88"/>
      <c r="H168" s="130"/>
    </row>
    <row r="169" spans="1:8" x14ac:dyDescent="0.35">
      <c r="A169" s="93"/>
      <c r="B169" s="85" t="s">
        <v>227</v>
      </c>
      <c r="C169" s="175" t="s">
        <v>296</v>
      </c>
      <c r="D169" s="175"/>
      <c r="E169" s="97"/>
      <c r="F169" s="97"/>
      <c r="G169" s="88"/>
      <c r="H169" s="130"/>
    </row>
    <row r="170" spans="1:8" x14ac:dyDescent="0.35">
      <c r="A170" s="93"/>
      <c r="B170" s="93"/>
      <c r="C170" s="91"/>
      <c r="D170" s="91"/>
      <c r="E170" s="91"/>
      <c r="F170" s="91"/>
      <c r="G170" s="88"/>
      <c r="H170" s="130"/>
    </row>
    <row r="171" spans="1:8" x14ac:dyDescent="0.35">
      <c r="A171" s="93"/>
      <c r="B171" s="93"/>
      <c r="C171" s="91"/>
      <c r="D171" s="91"/>
      <c r="E171" s="91"/>
      <c r="F171" s="91"/>
      <c r="G171" s="88"/>
      <c r="H171" s="130"/>
    </row>
    <row r="172" spans="1:8" x14ac:dyDescent="0.35">
      <c r="A172" s="93"/>
      <c r="B172" s="93"/>
      <c r="C172" s="91"/>
      <c r="D172" s="91"/>
      <c r="E172" s="91"/>
      <c r="F172" s="91"/>
      <c r="G172" s="88"/>
      <c r="H172" s="130"/>
    </row>
    <row r="173" spans="1:8" x14ac:dyDescent="0.35">
      <c r="A173" s="93"/>
      <c r="B173" s="85"/>
      <c r="C173" s="97"/>
      <c r="D173" s="91"/>
      <c r="E173" s="91"/>
      <c r="F173" s="91"/>
      <c r="G173" s="88"/>
      <c r="H173" s="130"/>
    </row>
    <row r="174" spans="1:8" x14ac:dyDescent="0.35">
      <c r="A174" s="93"/>
      <c r="B174" s="85" t="s">
        <v>228</v>
      </c>
      <c r="C174" s="97">
        <v>1</v>
      </c>
      <c r="D174" s="91"/>
      <c r="E174" s="91"/>
      <c r="F174" s="91"/>
      <c r="G174" s="88"/>
      <c r="H174" s="130"/>
    </row>
    <row r="175" spans="1:8" x14ac:dyDescent="0.35">
      <c r="A175" s="93"/>
      <c r="B175" s="85"/>
      <c r="C175" s="86"/>
      <c r="D175" s="86"/>
      <c r="E175" s="87"/>
      <c r="F175" s="87"/>
      <c r="G175" s="88"/>
      <c r="H175" s="130"/>
    </row>
    <row r="176" spans="1:8" x14ac:dyDescent="0.35">
      <c r="A176" s="93"/>
      <c r="B176" s="85"/>
      <c r="C176" s="86"/>
      <c r="D176" s="86"/>
      <c r="E176" s="86"/>
      <c r="F176" s="86"/>
      <c r="G176" s="88"/>
      <c r="H176" s="130"/>
    </row>
    <row r="177" spans="1:8" x14ac:dyDescent="0.35">
      <c r="A177" s="93"/>
      <c r="B177" s="85"/>
      <c r="C177" s="97"/>
      <c r="D177" s="91"/>
      <c r="E177" s="91"/>
      <c r="F177" s="91"/>
      <c r="G177" s="88"/>
      <c r="H177" s="130"/>
    </row>
    <row r="178" spans="1:8" x14ac:dyDescent="0.35">
      <c r="A178" s="93"/>
      <c r="B178" s="85" t="s">
        <v>188</v>
      </c>
      <c r="C178" s="175"/>
      <c r="D178" s="178"/>
      <c r="E178" s="111"/>
      <c r="F178" s="111"/>
      <c r="G178" s="88"/>
      <c r="H178" s="130"/>
    </row>
    <row r="179" spans="1:8" x14ac:dyDescent="0.35">
      <c r="A179" s="93"/>
      <c r="B179" s="85"/>
      <c r="C179" s="86"/>
      <c r="D179" s="86"/>
      <c r="E179" s="87"/>
      <c r="F179" s="87"/>
      <c r="G179" s="88"/>
      <c r="H179" s="130"/>
    </row>
    <row r="180" spans="1:8" x14ac:dyDescent="0.35">
      <c r="A180" s="93"/>
      <c r="B180" s="85"/>
      <c r="C180" s="97"/>
      <c r="D180" s="91"/>
      <c r="E180" s="91"/>
      <c r="F180" s="91"/>
      <c r="G180" s="88"/>
      <c r="H180" s="130"/>
    </row>
    <row r="181" spans="1:8" x14ac:dyDescent="0.35">
      <c r="A181" s="93"/>
      <c r="B181" s="85"/>
      <c r="C181" s="97"/>
      <c r="D181" s="91"/>
      <c r="E181" s="91"/>
      <c r="F181" s="91"/>
      <c r="G181" s="88"/>
      <c r="H181" s="130"/>
    </row>
    <row r="182" spans="1:8" x14ac:dyDescent="0.35">
      <c r="A182" s="93"/>
      <c r="B182" s="85" t="s">
        <v>229</v>
      </c>
      <c r="C182" s="175" t="s">
        <v>230</v>
      </c>
      <c r="D182" s="175"/>
      <c r="E182" s="97"/>
      <c r="F182" s="97"/>
      <c r="G182" s="94"/>
      <c r="H182" s="130"/>
    </row>
    <row r="183" spans="1:8" x14ac:dyDescent="0.35">
      <c r="A183" s="93"/>
      <c r="B183" s="98"/>
      <c r="C183" s="86"/>
      <c r="D183" s="86"/>
      <c r="E183" s="87"/>
      <c r="F183" s="87"/>
      <c r="G183" s="94"/>
      <c r="H183" s="130"/>
    </row>
    <row r="184" spans="1:8" x14ac:dyDescent="0.35">
      <c r="A184" s="93" t="s">
        <v>231</v>
      </c>
      <c r="B184" s="93"/>
      <c r="C184" s="95"/>
      <c r="D184" s="95"/>
      <c r="E184" s="95"/>
      <c r="F184" s="95"/>
      <c r="G184" s="94"/>
      <c r="H184" s="130"/>
    </row>
    <row r="185" spans="1:8" x14ac:dyDescent="0.35">
      <c r="A185" s="98"/>
      <c r="B185" s="93"/>
      <c r="C185" s="91"/>
      <c r="D185" s="91"/>
      <c r="E185" s="91"/>
      <c r="F185" s="91"/>
      <c r="G185" s="88"/>
      <c r="H185" s="130"/>
    </row>
    <row r="186" spans="1:8" x14ac:dyDescent="0.35">
      <c r="A186" s="98"/>
      <c r="B186" s="112" t="s">
        <v>232</v>
      </c>
      <c r="C186" s="175"/>
      <c r="D186" s="175"/>
      <c r="E186" s="97"/>
      <c r="F186" s="97"/>
      <c r="G186" s="88"/>
      <c r="H186" s="132"/>
    </row>
    <row r="187" spans="1:8" x14ac:dyDescent="0.35">
      <c r="A187" s="93"/>
      <c r="B187" s="93"/>
      <c r="C187" s="95"/>
      <c r="D187" s="95"/>
      <c r="E187" s="95"/>
      <c r="F187" s="95"/>
      <c r="G187" s="88"/>
      <c r="H187" s="132"/>
    </row>
    <row r="188" spans="1:8" x14ac:dyDescent="0.35">
      <c r="A188" s="93"/>
      <c r="B188" s="85"/>
      <c r="C188" s="97"/>
      <c r="D188" s="91"/>
      <c r="E188" s="91"/>
      <c r="F188" s="91"/>
      <c r="G188" s="94"/>
      <c r="H188" s="130"/>
    </row>
    <row r="189" spans="1:8" ht="15.75" customHeight="1" x14ac:dyDescent="0.35">
      <c r="A189" s="93"/>
      <c r="B189" s="85" t="s">
        <v>233</v>
      </c>
      <c r="C189" s="175" t="s">
        <v>234</v>
      </c>
      <c r="D189" s="175"/>
      <c r="E189" s="97"/>
      <c r="F189" s="97"/>
      <c r="G189" s="125"/>
      <c r="H189" s="134"/>
    </row>
    <row r="190" spans="1:8" ht="15.75" customHeight="1" x14ac:dyDescent="0.35">
      <c r="A190" s="93"/>
      <c r="B190" s="85"/>
      <c r="C190" s="97"/>
      <c r="D190" s="97"/>
      <c r="E190" s="97"/>
      <c r="F190" s="97"/>
      <c r="G190" s="125"/>
      <c r="H190" s="134"/>
    </row>
    <row r="191" spans="1:8" ht="15.75" customHeight="1" x14ac:dyDescent="0.35">
      <c r="A191" s="93"/>
      <c r="B191" s="85"/>
      <c r="C191" s="97"/>
      <c r="D191" s="97"/>
      <c r="E191" s="97"/>
      <c r="F191" s="97"/>
      <c r="G191" s="125"/>
      <c r="H191" s="134"/>
    </row>
    <row r="192" spans="1:8" ht="15.75" customHeight="1" x14ac:dyDescent="0.35">
      <c r="A192" s="93"/>
      <c r="B192" s="85"/>
      <c r="C192" s="97"/>
      <c r="D192" s="97"/>
      <c r="E192" s="97"/>
      <c r="F192" s="97"/>
      <c r="G192" s="125"/>
      <c r="H192" s="134"/>
    </row>
    <row r="193" spans="1:8" ht="15.75" customHeight="1" x14ac:dyDescent="0.35">
      <c r="A193" s="93"/>
      <c r="B193" s="85"/>
      <c r="C193" s="97"/>
      <c r="D193" s="97"/>
      <c r="E193" s="97"/>
      <c r="F193" s="97"/>
      <c r="G193" s="125"/>
      <c r="H193" s="134"/>
    </row>
    <row r="194" spans="1:8" ht="15.75" customHeight="1" x14ac:dyDescent="0.35">
      <c r="A194" s="93"/>
      <c r="B194" s="85" t="s">
        <v>155</v>
      </c>
      <c r="C194" s="86"/>
      <c r="D194" s="86"/>
      <c r="E194" s="87"/>
      <c r="F194" s="87"/>
      <c r="G194" s="88"/>
      <c r="H194" s="135"/>
    </row>
    <row r="195" spans="1:8" x14ac:dyDescent="0.35">
      <c r="A195" s="93"/>
      <c r="B195" s="93"/>
      <c r="C195" s="86"/>
      <c r="D195" s="86"/>
      <c r="E195" s="87"/>
      <c r="F195" s="87"/>
      <c r="G195" s="94"/>
      <c r="H195" s="134"/>
    </row>
    <row r="196" spans="1:8" s="83" customFormat="1" x14ac:dyDescent="0.35">
      <c r="A196" s="81"/>
      <c r="B196" s="81"/>
      <c r="C196" s="86"/>
      <c r="D196" s="86"/>
      <c r="E196" s="86"/>
      <c r="F196" s="86"/>
      <c r="G196" s="94"/>
      <c r="H196" s="130"/>
    </row>
    <row r="197" spans="1:8" s="83" customFormat="1" x14ac:dyDescent="0.35">
      <c r="A197" s="81"/>
      <c r="B197" s="81"/>
      <c r="C197" s="86"/>
      <c r="D197" s="86"/>
      <c r="E197" s="86"/>
      <c r="F197" s="86"/>
      <c r="G197" s="94"/>
      <c r="H197" s="130"/>
    </row>
    <row r="198" spans="1:8" x14ac:dyDescent="0.35">
      <c r="A198" s="102" t="s">
        <v>235</v>
      </c>
      <c r="B198" s="85" t="s">
        <v>297</v>
      </c>
      <c r="C198" s="177"/>
      <c r="D198" s="177"/>
      <c r="E198" s="100"/>
      <c r="F198" s="100"/>
      <c r="G198" s="94"/>
      <c r="H198" s="130"/>
    </row>
    <row r="199" spans="1:8" x14ac:dyDescent="0.35">
      <c r="A199" s="102"/>
      <c r="B199" s="85"/>
      <c r="C199" s="86"/>
      <c r="D199" s="86"/>
      <c r="E199" s="87"/>
      <c r="F199" s="87"/>
      <c r="G199" s="94"/>
      <c r="H199" s="130"/>
    </row>
    <row r="200" spans="1:8" x14ac:dyDescent="0.35">
      <c r="A200" s="102"/>
      <c r="B200" s="95"/>
      <c r="C200" s="86"/>
      <c r="D200" s="86"/>
      <c r="E200" s="87"/>
      <c r="F200" s="87"/>
      <c r="G200" s="94"/>
      <c r="H200" s="130"/>
    </row>
    <row r="201" spans="1:8" x14ac:dyDescent="0.35">
      <c r="A201" s="102"/>
      <c r="B201" s="85"/>
      <c r="C201" s="86"/>
      <c r="D201" s="86"/>
      <c r="E201" s="87"/>
      <c r="F201" s="87"/>
      <c r="G201" s="94"/>
      <c r="H201" s="130"/>
    </row>
    <row r="202" spans="1:8" x14ac:dyDescent="0.35">
      <c r="A202" s="102"/>
      <c r="B202" s="85"/>
      <c r="C202" s="86"/>
      <c r="D202" s="86"/>
      <c r="E202" s="87"/>
      <c r="F202" s="87"/>
      <c r="G202" s="94"/>
      <c r="H202" s="130"/>
    </row>
    <row r="203" spans="1:8" x14ac:dyDescent="0.35">
      <c r="A203" s="102"/>
      <c r="B203" s="85"/>
      <c r="C203" s="86"/>
      <c r="D203" s="86"/>
      <c r="E203" s="87"/>
      <c r="F203" s="87"/>
      <c r="G203" s="94"/>
      <c r="H203" s="130"/>
    </row>
    <row r="204" spans="1:8" x14ac:dyDescent="0.35">
      <c r="A204" s="102"/>
      <c r="B204" s="85" t="s">
        <v>236</v>
      </c>
      <c r="C204" s="86"/>
      <c r="D204" s="86"/>
      <c r="E204" s="87"/>
      <c r="F204" s="87"/>
      <c r="G204" s="94"/>
      <c r="H204" s="130"/>
    </row>
    <row r="205" spans="1:8" x14ac:dyDescent="0.35">
      <c r="A205" s="102"/>
      <c r="B205" s="95"/>
      <c r="C205" s="86"/>
      <c r="D205" s="86"/>
      <c r="E205" s="87"/>
      <c r="F205" s="87"/>
      <c r="G205" s="94"/>
      <c r="H205" s="130"/>
    </row>
    <row r="206" spans="1:8" x14ac:dyDescent="0.35">
      <c r="A206" s="102"/>
      <c r="B206" s="95"/>
      <c r="C206" s="86"/>
      <c r="D206" s="86"/>
      <c r="E206" s="87"/>
      <c r="F206" s="87"/>
      <c r="G206" s="94"/>
      <c r="H206" s="130"/>
    </row>
    <row r="207" spans="1:8" x14ac:dyDescent="0.35">
      <c r="A207" s="102"/>
      <c r="B207" s="85"/>
      <c r="C207" s="86"/>
      <c r="D207" s="86"/>
      <c r="E207" s="87"/>
      <c r="F207" s="87"/>
      <c r="G207" s="94"/>
      <c r="H207" s="130"/>
    </row>
    <row r="208" spans="1:8" x14ac:dyDescent="0.35">
      <c r="A208" s="102"/>
      <c r="B208" s="85"/>
      <c r="C208" s="86"/>
      <c r="D208" s="86"/>
      <c r="E208" s="87"/>
      <c r="F208" s="87"/>
      <c r="G208" s="94"/>
      <c r="H208" s="130"/>
    </row>
    <row r="209" spans="1:8" x14ac:dyDescent="0.35">
      <c r="A209" s="102"/>
      <c r="B209" s="85"/>
      <c r="C209" s="86"/>
      <c r="D209" s="86"/>
      <c r="E209" s="87"/>
      <c r="F209" s="87"/>
      <c r="G209" s="94"/>
      <c r="H209" s="130"/>
    </row>
    <row r="210" spans="1:8" x14ac:dyDescent="0.35">
      <c r="A210" s="93"/>
      <c r="B210" s="93"/>
      <c r="C210" s="117"/>
      <c r="D210" s="91"/>
      <c r="E210" s="91"/>
      <c r="F210" s="91"/>
      <c r="G210" s="94"/>
      <c r="H210" s="130"/>
    </row>
    <row r="211" spans="1:8" x14ac:dyDescent="0.35">
      <c r="A211" s="93"/>
      <c r="B211" s="93"/>
      <c r="C211" s="91"/>
      <c r="D211" s="91"/>
      <c r="E211" s="91"/>
      <c r="F211" s="91"/>
      <c r="G211" s="88"/>
      <c r="H211" s="130"/>
    </row>
    <row r="212" spans="1:8" x14ac:dyDescent="0.35">
      <c r="A212" s="93"/>
      <c r="B212" s="85" t="s">
        <v>59</v>
      </c>
      <c r="C212" s="97" t="s">
        <v>237</v>
      </c>
      <c r="D212" s="91"/>
      <c r="E212" s="91"/>
      <c r="F212" s="91"/>
      <c r="G212" s="88"/>
      <c r="H212" s="130"/>
    </row>
    <row r="213" spans="1:8" x14ac:dyDescent="0.35">
      <c r="A213" s="93"/>
      <c r="B213" s="85"/>
      <c r="C213" s="86"/>
      <c r="D213" s="95"/>
      <c r="E213" s="138"/>
      <c r="F213" s="138"/>
      <c r="H213" s="136"/>
    </row>
    <row r="214" spans="1:8" x14ac:dyDescent="0.35">
      <c r="A214" s="93"/>
      <c r="B214" s="93"/>
      <c r="C214" s="86"/>
      <c r="D214" s="86"/>
      <c r="E214" s="87"/>
      <c r="F214" s="87"/>
      <c r="G214" s="88"/>
      <c r="H214" s="130"/>
    </row>
    <row r="215" spans="1:8" x14ac:dyDescent="0.35">
      <c r="A215" s="93"/>
      <c r="B215" s="93"/>
      <c r="C215" s="86"/>
      <c r="D215" s="86"/>
      <c r="E215" s="87"/>
      <c r="F215" s="87"/>
      <c r="G215" s="88"/>
      <c r="H215" s="130"/>
    </row>
    <row r="216" spans="1:8" x14ac:dyDescent="0.35">
      <c r="A216" s="93"/>
      <c r="B216" s="85" t="s">
        <v>255</v>
      </c>
      <c r="C216" s="184"/>
      <c r="D216" s="177"/>
      <c r="E216" s="87"/>
      <c r="F216" s="87"/>
      <c r="G216" s="88"/>
      <c r="H216" s="130"/>
    </row>
    <row r="217" spans="1:8" x14ac:dyDescent="0.35">
      <c r="A217" s="93"/>
      <c r="B217" s="93"/>
      <c r="C217" s="86"/>
      <c r="D217" s="86"/>
      <c r="E217" s="87"/>
      <c r="F217" s="87"/>
      <c r="G217" s="88"/>
      <c r="H217" s="130"/>
    </row>
    <row r="218" spans="1:8" x14ac:dyDescent="0.35">
      <c r="A218" s="93"/>
      <c r="B218" s="93"/>
      <c r="C218" s="86"/>
      <c r="D218" s="86"/>
      <c r="E218" s="108"/>
      <c r="F218" s="108"/>
      <c r="G218" s="88"/>
      <c r="H218" s="130"/>
    </row>
    <row r="219" spans="1:8" x14ac:dyDescent="0.35">
      <c r="A219" s="93"/>
      <c r="B219" s="93"/>
      <c r="C219" s="86"/>
      <c r="D219" s="86"/>
      <c r="E219" s="87"/>
      <c r="F219" s="87"/>
      <c r="G219" s="88"/>
      <c r="H219" s="130"/>
    </row>
    <row r="220" spans="1:8" x14ac:dyDescent="0.35">
      <c r="A220" s="93"/>
      <c r="B220" s="93"/>
      <c r="C220" s="91"/>
      <c r="D220" s="91"/>
      <c r="E220" s="91"/>
      <c r="F220" s="91"/>
      <c r="G220" s="88"/>
      <c r="H220" s="130"/>
    </row>
    <row r="221" spans="1:8" x14ac:dyDescent="0.35">
      <c r="A221" s="93"/>
      <c r="B221" s="93"/>
      <c r="C221" s="91"/>
      <c r="D221" s="91"/>
      <c r="E221" s="91"/>
      <c r="F221" s="91"/>
      <c r="G221" s="88"/>
      <c r="H221" s="130"/>
    </row>
    <row r="222" spans="1:8" x14ac:dyDescent="0.35">
      <c r="A222" s="93"/>
      <c r="B222" s="85" t="s">
        <v>238</v>
      </c>
      <c r="C222" s="182"/>
      <c r="D222" s="183"/>
      <c r="E222" s="126"/>
      <c r="F222" s="126"/>
      <c r="G222" s="94"/>
      <c r="H222" s="130"/>
    </row>
    <row r="223" spans="1:8" x14ac:dyDescent="0.35">
      <c r="A223" s="93"/>
      <c r="B223" s="93"/>
      <c r="C223" s="86"/>
      <c r="D223" s="86"/>
      <c r="E223" s="87"/>
      <c r="F223" s="87"/>
      <c r="G223" s="94"/>
      <c r="H223" s="130"/>
    </row>
    <row r="224" spans="1:8" x14ac:dyDescent="0.35">
      <c r="A224" s="93"/>
      <c r="B224" s="93"/>
      <c r="C224" s="95"/>
      <c r="D224" s="95"/>
      <c r="E224" s="95"/>
      <c r="F224" s="95"/>
      <c r="G224" s="94"/>
      <c r="H224" s="130"/>
    </row>
    <row r="225" spans="1:8" x14ac:dyDescent="0.35">
      <c r="A225" s="93"/>
      <c r="B225" s="93"/>
      <c r="C225" s="91"/>
      <c r="D225" s="91"/>
      <c r="E225" s="91"/>
      <c r="F225" s="91"/>
      <c r="G225" s="88"/>
      <c r="H225" s="130"/>
    </row>
    <row r="226" spans="1:8" x14ac:dyDescent="0.35">
      <c r="A226" s="93"/>
      <c r="B226" s="85" t="s">
        <v>239</v>
      </c>
      <c r="C226" s="177"/>
      <c r="D226" s="177"/>
      <c r="E226" s="100"/>
      <c r="F226" s="100"/>
      <c r="G226" s="94"/>
      <c r="H226" s="130"/>
    </row>
    <row r="227" spans="1:8" x14ac:dyDescent="0.35">
      <c r="A227" s="93"/>
      <c r="B227" s="85"/>
      <c r="C227" s="86"/>
      <c r="D227" s="86"/>
      <c r="E227" s="87"/>
      <c r="F227" s="87"/>
      <c r="G227" s="94"/>
      <c r="H227" s="130"/>
    </row>
    <row r="228" spans="1:8" x14ac:dyDescent="0.35">
      <c r="A228" s="93"/>
      <c r="B228" s="85"/>
      <c r="C228" s="86"/>
      <c r="D228" s="86"/>
      <c r="E228" s="87"/>
      <c r="F228" s="87"/>
      <c r="G228" s="94"/>
      <c r="H228" s="130"/>
    </row>
    <row r="229" spans="1:8" x14ac:dyDescent="0.35">
      <c r="A229" s="93"/>
      <c r="B229" s="93"/>
      <c r="C229" s="86"/>
      <c r="D229" s="86"/>
      <c r="E229" s="86"/>
      <c r="F229" s="86"/>
      <c r="G229" s="94"/>
      <c r="H229" s="130"/>
    </row>
    <row r="230" spans="1:8" x14ac:dyDescent="0.35">
      <c r="A230" s="93"/>
      <c r="B230" s="93"/>
      <c r="C230" s="91"/>
      <c r="D230" s="91"/>
      <c r="E230" s="91"/>
      <c r="F230" s="91"/>
      <c r="G230" s="88"/>
      <c r="H230" s="130"/>
    </row>
    <row r="231" spans="1:8" x14ac:dyDescent="0.35">
      <c r="A231" s="93"/>
      <c r="B231" s="85" t="s">
        <v>240</v>
      </c>
      <c r="C231" s="175" t="s">
        <v>241</v>
      </c>
      <c r="D231" s="175"/>
      <c r="E231" s="97"/>
      <c r="F231" s="97"/>
      <c r="G231" s="94"/>
      <c r="H231" s="130"/>
    </row>
    <row r="232" spans="1:8" x14ac:dyDescent="0.35">
      <c r="A232" s="93"/>
      <c r="B232" s="93"/>
      <c r="C232" s="86"/>
      <c r="D232" s="86"/>
      <c r="E232" s="87"/>
      <c r="F232" s="87"/>
      <c r="G232" s="94"/>
      <c r="H232" s="130"/>
    </row>
    <row r="233" spans="1:8" x14ac:dyDescent="0.35">
      <c r="A233" s="93"/>
      <c r="B233" s="93"/>
      <c r="C233" s="86"/>
      <c r="D233" s="86"/>
      <c r="E233" s="87"/>
      <c r="F233" s="87"/>
      <c r="G233" s="94"/>
      <c r="H233" s="130"/>
    </row>
    <row r="234" spans="1:8" x14ac:dyDescent="0.35">
      <c r="A234" s="93"/>
      <c r="B234" s="93"/>
      <c r="C234" s="86"/>
      <c r="D234" s="86"/>
      <c r="E234" s="87"/>
      <c r="F234" s="87"/>
      <c r="G234" s="94"/>
      <c r="H234" s="130"/>
    </row>
    <row r="235" spans="1:8" x14ac:dyDescent="0.35">
      <c r="A235" s="93"/>
      <c r="B235" s="93"/>
      <c r="C235" s="91"/>
      <c r="D235" s="91"/>
      <c r="E235" s="91"/>
      <c r="F235" s="91"/>
      <c r="G235" s="94"/>
      <c r="H235" s="130"/>
    </row>
    <row r="236" spans="1:8" x14ac:dyDescent="0.35">
      <c r="A236" s="93"/>
      <c r="B236" s="93"/>
      <c r="C236" s="91"/>
      <c r="D236" s="91"/>
      <c r="E236" s="91"/>
      <c r="F236" s="91"/>
      <c r="G236" s="88"/>
      <c r="H236" s="130"/>
    </row>
    <row r="237" spans="1:8" x14ac:dyDescent="0.35">
      <c r="A237" s="93"/>
      <c r="B237" s="85" t="s">
        <v>242</v>
      </c>
      <c r="C237" s="175"/>
      <c r="D237" s="175"/>
      <c r="E237" s="97"/>
      <c r="F237" s="97"/>
      <c r="G237" s="94"/>
      <c r="H237" s="130"/>
    </row>
    <row r="238" spans="1:8" x14ac:dyDescent="0.35">
      <c r="A238" s="93"/>
      <c r="C238" s="86"/>
      <c r="D238" s="86"/>
      <c r="E238" s="87"/>
      <c r="F238" s="87"/>
      <c r="G238" s="94"/>
      <c r="H238" s="130"/>
    </row>
    <row r="239" spans="1:8" x14ac:dyDescent="0.35">
      <c r="A239" s="93"/>
      <c r="C239" s="86"/>
      <c r="D239" s="86"/>
      <c r="E239" s="87"/>
      <c r="F239" s="87"/>
      <c r="G239" s="94"/>
      <c r="H239" s="130"/>
    </row>
    <row r="240" spans="1:8" x14ac:dyDescent="0.35">
      <c r="A240" s="93"/>
      <c r="C240" s="86"/>
      <c r="D240" s="86"/>
      <c r="E240" s="87"/>
      <c r="F240" s="87"/>
      <c r="G240" s="94"/>
      <c r="H240" s="130"/>
    </row>
    <row r="241" spans="1:8" x14ac:dyDescent="0.35">
      <c r="A241" s="93"/>
      <c r="C241" s="86"/>
      <c r="D241" s="86"/>
      <c r="E241" s="87"/>
      <c r="F241" s="87"/>
      <c r="G241" s="94"/>
      <c r="H241" s="130"/>
    </row>
    <row r="242" spans="1:8" x14ac:dyDescent="0.35">
      <c r="A242" s="93"/>
      <c r="C242" s="86"/>
      <c r="D242" s="86"/>
      <c r="E242" s="86"/>
      <c r="F242" s="86"/>
      <c r="G242" s="94"/>
      <c r="H242" s="130"/>
    </row>
    <row r="243" spans="1:8" x14ac:dyDescent="0.35">
      <c r="A243" s="93"/>
      <c r="G243" s="88"/>
      <c r="H243" s="132"/>
    </row>
    <row r="244" spans="1:8" x14ac:dyDescent="0.35">
      <c r="A244" s="93"/>
      <c r="B244" s="85" t="s">
        <v>243</v>
      </c>
      <c r="C244" s="175"/>
      <c r="D244" s="175"/>
      <c r="E244" s="97"/>
      <c r="F244" s="97"/>
      <c r="G244" s="94"/>
      <c r="H244" s="130"/>
    </row>
    <row r="245" spans="1:8" x14ac:dyDescent="0.35">
      <c r="A245" s="93"/>
      <c r="C245" s="86"/>
      <c r="D245" s="86"/>
      <c r="E245" s="87"/>
      <c r="F245" s="87"/>
      <c r="G245" s="94"/>
      <c r="H245" s="130"/>
    </row>
    <row r="246" spans="1:8" x14ac:dyDescent="0.35">
      <c r="A246" s="93"/>
      <c r="C246" s="86"/>
      <c r="D246" s="86"/>
      <c r="E246" s="87"/>
      <c r="F246" s="87"/>
      <c r="G246" s="94"/>
      <c r="H246" s="130"/>
    </row>
    <row r="247" spans="1:8" x14ac:dyDescent="0.35">
      <c r="A247" s="93"/>
      <c r="C247" s="86"/>
      <c r="D247" s="86"/>
      <c r="E247" s="87"/>
      <c r="F247" s="87"/>
      <c r="G247" s="94"/>
      <c r="H247" s="130"/>
    </row>
    <row r="248" spans="1:8" x14ac:dyDescent="0.35">
      <c r="A248" s="93"/>
      <c r="C248" s="86"/>
      <c r="D248" s="86"/>
      <c r="E248" s="87"/>
      <c r="F248" s="87"/>
      <c r="G248" s="94"/>
      <c r="H248" s="130"/>
    </row>
    <row r="249" spans="1:8" x14ac:dyDescent="0.35">
      <c r="A249" s="93"/>
      <c r="C249" s="86"/>
      <c r="D249" s="86"/>
      <c r="E249" s="86"/>
      <c r="F249" s="86"/>
      <c r="G249" s="94"/>
      <c r="H249" s="130"/>
    </row>
    <row r="250" spans="1:8" x14ac:dyDescent="0.35">
      <c r="A250" s="93"/>
      <c r="C250" s="86"/>
      <c r="D250" s="86"/>
      <c r="E250" s="86"/>
      <c r="F250" s="86"/>
      <c r="G250" s="94"/>
      <c r="H250" s="130"/>
    </row>
    <row r="251" spans="1:8" x14ac:dyDescent="0.35">
      <c r="A251" s="93"/>
      <c r="B251" s="85" t="s">
        <v>189</v>
      </c>
      <c r="C251" s="175" t="s">
        <v>244</v>
      </c>
      <c r="D251" s="175"/>
      <c r="E251" s="97"/>
      <c r="F251" s="97"/>
      <c r="G251" s="94"/>
      <c r="H251" s="130"/>
    </row>
    <row r="252" spans="1:8" x14ac:dyDescent="0.35">
      <c r="A252" s="93"/>
      <c r="B252" s="98"/>
      <c r="C252" s="86"/>
      <c r="D252" s="86"/>
      <c r="E252" s="87"/>
      <c r="F252" s="87"/>
      <c r="G252" s="88"/>
      <c r="H252" s="131"/>
    </row>
    <row r="253" spans="1:8" x14ac:dyDescent="0.35">
      <c r="A253" s="93"/>
      <c r="B253" s="85"/>
      <c r="C253" s="86"/>
      <c r="D253" s="86"/>
      <c r="E253" s="87"/>
      <c r="F253" s="87"/>
      <c r="G253" s="94"/>
      <c r="H253" s="130"/>
    </row>
    <row r="254" spans="1:8" x14ac:dyDescent="0.35">
      <c r="A254" s="93"/>
      <c r="B254" s="98"/>
      <c r="C254" s="86"/>
      <c r="D254" s="86"/>
      <c r="E254" s="87"/>
      <c r="F254" s="87"/>
      <c r="G254" s="88"/>
      <c r="H254" s="130"/>
    </row>
    <row r="255" spans="1:8" x14ac:dyDescent="0.35">
      <c r="A255" s="93"/>
      <c r="B255" s="98"/>
      <c r="C255" s="86"/>
      <c r="D255" s="86"/>
      <c r="E255" s="87"/>
      <c r="F255" s="87"/>
      <c r="G255" s="88"/>
      <c r="H255" s="130"/>
    </row>
    <row r="256" spans="1:8" x14ac:dyDescent="0.35">
      <c r="A256" s="93"/>
      <c r="B256" s="98"/>
      <c r="C256" s="86"/>
      <c r="D256" s="86"/>
      <c r="E256" s="86"/>
      <c r="F256" s="86"/>
      <c r="G256" s="88"/>
      <c r="H256" s="130"/>
    </row>
    <row r="257" spans="1:8" x14ac:dyDescent="0.35">
      <c r="A257" s="93"/>
      <c r="B257" s="93"/>
      <c r="C257" s="96"/>
      <c r="D257" s="96"/>
      <c r="E257" s="96"/>
      <c r="F257" s="96"/>
      <c r="G257" s="94"/>
      <c r="H257" s="130"/>
    </row>
    <row r="258" spans="1:8" x14ac:dyDescent="0.35">
      <c r="A258" s="93"/>
      <c r="B258" s="85" t="s">
        <v>245</v>
      </c>
      <c r="C258" s="175"/>
      <c r="D258" s="175"/>
      <c r="E258" s="97"/>
      <c r="F258" s="97"/>
      <c r="G258" s="88"/>
      <c r="H258" s="132"/>
    </row>
    <row r="259" spans="1:8" x14ac:dyDescent="0.35">
      <c r="A259" s="93"/>
      <c r="C259" s="86"/>
      <c r="D259" s="86"/>
      <c r="E259" s="87"/>
      <c r="F259" s="87"/>
      <c r="G259" s="94"/>
      <c r="H259" s="132"/>
    </row>
    <row r="260" spans="1:8" x14ac:dyDescent="0.35">
      <c r="A260" s="93"/>
      <c r="C260" s="86"/>
      <c r="D260" s="86"/>
      <c r="E260" s="86"/>
      <c r="F260" s="86"/>
      <c r="G260" s="94"/>
      <c r="H260" s="132"/>
    </row>
    <row r="261" spans="1:8" x14ac:dyDescent="0.35">
      <c r="A261" s="93"/>
      <c r="B261" s="93"/>
      <c r="C261" s="91"/>
      <c r="D261" s="91"/>
      <c r="E261" s="91"/>
      <c r="F261" s="91"/>
      <c r="G261" s="88"/>
      <c r="H261" s="132"/>
    </row>
    <row r="262" spans="1:8" x14ac:dyDescent="0.35">
      <c r="A262" s="93"/>
      <c r="B262" s="85" t="s">
        <v>246</v>
      </c>
      <c r="C262" s="175"/>
      <c r="D262" s="175"/>
      <c r="E262" s="97"/>
      <c r="F262" s="97"/>
      <c r="G262" s="88"/>
      <c r="H262" s="132"/>
    </row>
    <row r="263" spans="1:8" x14ac:dyDescent="0.35">
      <c r="A263" s="93"/>
      <c r="B263" s="93"/>
      <c r="C263" s="86"/>
      <c r="D263" s="86"/>
      <c r="E263" s="87"/>
      <c r="F263" s="87"/>
      <c r="G263" s="88"/>
      <c r="H263" s="132"/>
    </row>
    <row r="264" spans="1:8" x14ac:dyDescent="0.35">
      <c r="A264" s="93"/>
      <c r="B264" s="93"/>
      <c r="C264" s="91"/>
      <c r="D264" s="91"/>
      <c r="E264" s="91"/>
      <c r="F264" s="91"/>
      <c r="G264" s="88"/>
      <c r="H264" s="132"/>
    </row>
    <row r="265" spans="1:8" x14ac:dyDescent="0.35">
      <c r="A265" s="93"/>
      <c r="B265" s="93"/>
      <c r="C265" s="91"/>
      <c r="D265" s="91"/>
      <c r="E265" s="91"/>
      <c r="F265" s="91"/>
      <c r="G265" s="88"/>
      <c r="H265" s="132"/>
    </row>
    <row r="266" spans="1:8" x14ac:dyDescent="0.35">
      <c r="A266" s="93"/>
      <c r="B266" s="85" t="s">
        <v>247</v>
      </c>
      <c r="C266" s="175"/>
      <c r="D266" s="175"/>
      <c r="E266" s="97"/>
      <c r="F266" s="97"/>
      <c r="G266" s="110"/>
      <c r="H266" s="139"/>
    </row>
    <row r="267" spans="1:8" x14ac:dyDescent="0.35">
      <c r="A267" s="93"/>
      <c r="B267" s="85"/>
      <c r="C267" s="86"/>
      <c r="D267" s="86"/>
      <c r="E267" s="87"/>
      <c r="F267" s="87"/>
      <c r="G267" s="110"/>
      <c r="H267" s="139"/>
    </row>
    <row r="268" spans="1:8" x14ac:dyDescent="0.35">
      <c r="A268" s="93" t="s">
        <v>248</v>
      </c>
      <c r="C268" s="95"/>
      <c r="D268" s="95"/>
      <c r="E268" s="95"/>
      <c r="F268" s="95"/>
      <c r="G268" s="94"/>
      <c r="H268" s="130"/>
    </row>
    <row r="269" spans="1:8" x14ac:dyDescent="0.35">
      <c r="A269" s="93"/>
      <c r="C269" s="117"/>
      <c r="D269" s="117"/>
      <c r="E269" s="117"/>
      <c r="F269" s="117"/>
      <c r="G269" s="110"/>
      <c r="H269" s="130"/>
    </row>
    <row r="270" spans="1:8" x14ac:dyDescent="0.35">
      <c r="A270" s="93"/>
      <c r="B270" s="85" t="s">
        <v>299</v>
      </c>
      <c r="C270" s="117"/>
      <c r="D270" s="117"/>
      <c r="E270" s="117"/>
      <c r="F270" s="117"/>
      <c r="G270" s="110"/>
      <c r="H270" s="130"/>
    </row>
  </sheetData>
  <mergeCells count="37">
    <mergeCell ref="C251:D251"/>
    <mergeCell ref="C258:D258"/>
    <mergeCell ref="C262:D262"/>
    <mergeCell ref="C266:D266"/>
    <mergeCell ref="C198:D198"/>
    <mergeCell ref="C222:D222"/>
    <mergeCell ref="C226:D226"/>
    <mergeCell ref="C231:D231"/>
    <mergeCell ref="C237:D237"/>
    <mergeCell ref="C244:D244"/>
    <mergeCell ref="C216:D216"/>
    <mergeCell ref="C189:D189"/>
    <mergeCell ref="C115:D115"/>
    <mergeCell ref="C129:D129"/>
    <mergeCell ref="C146:D146"/>
    <mergeCell ref="C156:D156"/>
    <mergeCell ref="C160:D160"/>
    <mergeCell ref="C169:D169"/>
    <mergeCell ref="C178:D178"/>
    <mergeCell ref="C182:D182"/>
    <mergeCell ref="C186:D186"/>
    <mergeCell ref="C18:D18"/>
    <mergeCell ref="C2:D2"/>
    <mergeCell ref="C10:D10"/>
    <mergeCell ref="C14:D14"/>
    <mergeCell ref="C106:D106"/>
    <mergeCell ref="C27:D27"/>
    <mergeCell ref="C39:D39"/>
    <mergeCell ref="C45:D45"/>
    <mergeCell ref="C49:D49"/>
    <mergeCell ref="C57:D57"/>
    <mergeCell ref="C61:D61"/>
    <mergeCell ref="C65:D65"/>
    <mergeCell ref="C84:D84"/>
    <mergeCell ref="C89:D89"/>
    <mergeCell ref="C93:D93"/>
    <mergeCell ref="C98:D9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Requirements List</vt:lpstr>
      <vt:lpstr>Recipient Selection Template</vt:lpstr>
      <vt:lpstr>'Requirements List'!Print_Titles</vt:lpstr>
    </vt:vector>
  </TitlesOfParts>
  <Company>Eli Broad College of Business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Accounting and Informations Systems Department</dc:creator>
  <cp:lastModifiedBy>Hengesbach, Joyce</cp:lastModifiedBy>
  <cp:lastPrinted>2021-05-14T11:38:16Z</cp:lastPrinted>
  <dcterms:created xsi:type="dcterms:W3CDTF">2013-01-31T16:17:51Z</dcterms:created>
  <dcterms:modified xsi:type="dcterms:W3CDTF">2025-03-24T18:50:46Z</dcterms:modified>
</cp:coreProperties>
</file>